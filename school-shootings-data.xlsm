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b40869d8f25a56/Desktop/SMU Program/Classes/Visualization/Midterm Project/"/>
    </mc:Choice>
  </mc:AlternateContent>
  <xr:revisionPtr revIDLastSave="109" documentId="13_ncr:40009_{A7D67350-46F9-4DE0-B6A8-C6B2A93B92E2}" xr6:coauthVersionLast="47" xr6:coauthVersionMax="47" xr10:uidLastSave="{2B7B7926-2CB5-4BA3-866A-61324FF93749}"/>
  <bookViews>
    <workbookView xWindow="-108" yWindow="-108" windowWidth="23256" windowHeight="12456" xr2:uid="{00000000-000D-0000-FFFF-FFFF00000000}"/>
  </bookViews>
  <sheets>
    <sheet name="school-shootings-data" sheetId="1" r:id="rId1"/>
  </sheets>
  <definedNames>
    <definedName name="_xlnm._FilterDatabase" localSheetId="0" hidden="1">'school-shootings-data'!$A$1:$AZ$388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6" i="1" l="1"/>
  <c r="D382" i="1"/>
  <c r="D254" i="1"/>
  <c r="D82" i="1"/>
  <c r="D80" i="1"/>
  <c r="D4" i="1"/>
  <c r="D371" i="1"/>
  <c r="D366" i="1"/>
  <c r="D229" i="1"/>
  <c r="D221" i="1"/>
  <c r="D216" i="1"/>
  <c r="D213" i="1"/>
  <c r="D210" i="1"/>
  <c r="D328" i="1"/>
  <c r="D331" i="1"/>
  <c r="D332" i="1"/>
  <c r="D201" i="1"/>
  <c r="D198" i="1"/>
  <c r="D196" i="1"/>
  <c r="D347" i="1"/>
  <c r="D320" i="1"/>
  <c r="D191" i="1"/>
  <c r="D71" i="1"/>
  <c r="D69" i="1"/>
  <c r="D186" i="1"/>
  <c r="D38" i="1"/>
  <c r="D37" i="1"/>
  <c r="D177" i="1"/>
  <c r="D300" i="1"/>
  <c r="D35" i="1"/>
  <c r="D5" i="1"/>
  <c r="D161" i="1"/>
  <c r="D159" i="1"/>
  <c r="D294" i="1"/>
  <c r="D62" i="1"/>
  <c r="D153" i="1"/>
  <c r="D60" i="1"/>
  <c r="D287" i="1"/>
  <c r="D139" i="1"/>
  <c r="D51" i="1"/>
  <c r="D103" i="1"/>
  <c r="D95" i="1"/>
  <c r="D93" i="1"/>
  <c r="D92" i="1"/>
  <c r="D265" i="1"/>
  <c r="D385" i="1"/>
  <c r="D377" i="1"/>
  <c r="D237" i="1"/>
  <c r="D364" i="1"/>
  <c r="D226" i="1"/>
  <c r="D40" i="1"/>
  <c r="D219" i="1"/>
  <c r="D342" i="1"/>
  <c r="D218" i="1"/>
  <c r="D214" i="1"/>
  <c r="D204" i="1"/>
  <c r="D324" i="1"/>
  <c r="D74" i="1"/>
  <c r="D22" i="1"/>
  <c r="D184" i="1"/>
  <c r="D36" i="1"/>
  <c r="D34" i="1"/>
  <c r="D165" i="1"/>
  <c r="D164" i="1"/>
  <c r="D157" i="1"/>
  <c r="D154" i="1"/>
  <c r="D59" i="1"/>
  <c r="D148" i="1"/>
  <c r="D289" i="1"/>
  <c r="D284" i="1"/>
  <c r="D282" i="1"/>
  <c r="D55" i="1"/>
  <c r="D125" i="1"/>
  <c r="D119" i="1"/>
  <c r="D277" i="1"/>
  <c r="D108" i="1"/>
  <c r="D105" i="1"/>
  <c r="D99" i="1"/>
  <c r="D97" i="1"/>
  <c r="D268" i="1"/>
  <c r="D96" i="1"/>
  <c r="D19" i="1"/>
  <c r="D90" i="1"/>
  <c r="D87" i="1"/>
  <c r="D2" i="1"/>
  <c r="D15" i="1"/>
  <c r="D88" i="1"/>
  <c r="D89" i="1"/>
  <c r="D91" i="1"/>
  <c r="D266" i="1"/>
  <c r="D267" i="1"/>
  <c r="D94" i="1"/>
  <c r="D269" i="1"/>
  <c r="D270" i="1"/>
  <c r="D98" i="1"/>
  <c r="D8" i="1"/>
  <c r="D100" i="1"/>
  <c r="D20" i="1"/>
  <c r="D101" i="1"/>
  <c r="D272" i="1"/>
  <c r="D102" i="1"/>
  <c r="D104" i="1"/>
  <c r="D45" i="1"/>
  <c r="D46" i="1"/>
  <c r="D106" i="1"/>
  <c r="D274" i="1"/>
  <c r="D275" i="1"/>
  <c r="D107" i="1"/>
  <c r="D24" i="1"/>
  <c r="D109" i="1"/>
  <c r="D110" i="1"/>
  <c r="D276" i="1"/>
  <c r="D48" i="1"/>
  <c r="D49" i="1"/>
  <c r="D193" i="1"/>
  <c r="D50" i="1"/>
  <c r="D111" i="1"/>
  <c r="D52" i="1"/>
  <c r="D112" i="1"/>
  <c r="D278" i="1"/>
  <c r="D53" i="1"/>
  <c r="D113" i="1"/>
  <c r="D279" i="1"/>
  <c r="D115" i="1"/>
  <c r="D116" i="1"/>
  <c r="D9" i="1"/>
  <c r="D117" i="1"/>
  <c r="D118" i="1"/>
  <c r="D120" i="1"/>
  <c r="D121" i="1"/>
  <c r="D280" i="1"/>
  <c r="D122" i="1"/>
  <c r="D32" i="1"/>
  <c r="D123" i="1"/>
  <c r="D281" i="1"/>
  <c r="D126" i="1"/>
  <c r="D54" i="1"/>
  <c r="D127" i="1"/>
  <c r="D128" i="1"/>
  <c r="D129" i="1"/>
  <c r="D56" i="1"/>
  <c r="D130" i="1"/>
  <c r="D131" i="1"/>
  <c r="D132" i="1"/>
  <c r="D133" i="1"/>
  <c r="D283" i="1"/>
  <c r="D134" i="1"/>
  <c r="D135" i="1"/>
  <c r="D12" i="1"/>
  <c r="D285" i="1"/>
  <c r="D286" i="1"/>
  <c r="D137" i="1"/>
  <c r="D138" i="1"/>
  <c r="D140" i="1"/>
  <c r="D141" i="1"/>
  <c r="D142" i="1"/>
  <c r="D143" i="1"/>
  <c r="D144" i="1"/>
  <c r="D58" i="1"/>
  <c r="D288" i="1"/>
  <c r="D291" i="1"/>
  <c r="D145" i="1"/>
  <c r="D146" i="1"/>
  <c r="D147" i="1"/>
  <c r="D292" i="1"/>
  <c r="D149" i="1"/>
  <c r="D150" i="1"/>
  <c r="D151" i="1"/>
  <c r="D152" i="1"/>
  <c r="D293" i="1"/>
  <c r="D33" i="1"/>
  <c r="D61" i="1"/>
  <c r="D155" i="1"/>
  <c r="D156" i="1"/>
  <c r="D158" i="1"/>
  <c r="D16" i="1"/>
  <c r="D295" i="1"/>
  <c r="D162" i="1"/>
  <c r="D296" i="1"/>
  <c r="D63" i="1"/>
  <c r="D297" i="1"/>
  <c r="D166" i="1"/>
  <c r="D299" i="1"/>
  <c r="D167" i="1"/>
  <c r="D168" i="1"/>
  <c r="D169" i="1"/>
  <c r="D170" i="1"/>
  <c r="D171" i="1"/>
  <c r="D301" i="1"/>
  <c r="D172" i="1"/>
  <c r="D302" i="1"/>
  <c r="D303" i="1"/>
  <c r="D66" i="1"/>
  <c r="D175" i="1"/>
  <c r="D176" i="1"/>
  <c r="D21" i="1"/>
  <c r="D305" i="1"/>
  <c r="D178" i="1"/>
  <c r="D306" i="1"/>
  <c r="D308" i="1"/>
  <c r="D179" i="1"/>
  <c r="D309" i="1"/>
  <c r="D180" i="1"/>
  <c r="D26" i="1"/>
  <c r="D181" i="1"/>
  <c r="D182" i="1"/>
  <c r="D183" i="1"/>
  <c r="D27" i="1"/>
  <c r="D185" i="1"/>
  <c r="D310" i="1"/>
  <c r="D68" i="1"/>
  <c r="D311" i="1"/>
  <c r="D203" i="1"/>
  <c r="D312" i="1"/>
  <c r="D28" i="1"/>
  <c r="D187" i="1"/>
  <c r="D70" i="1"/>
  <c r="D72" i="1"/>
  <c r="D314" i="1"/>
  <c r="D315" i="1"/>
  <c r="D189" i="1"/>
  <c r="D7" i="1"/>
  <c r="D316" i="1"/>
  <c r="D3" i="1"/>
  <c r="D317" i="1"/>
  <c r="D190" i="1"/>
  <c r="D39" i="1"/>
  <c r="D318" i="1"/>
  <c r="D73" i="1"/>
  <c r="D344" i="1"/>
  <c r="D345" i="1"/>
  <c r="D192" i="1"/>
  <c r="D346" i="1"/>
  <c r="D233" i="1"/>
  <c r="D194" i="1"/>
  <c r="D319" i="1"/>
  <c r="D6" i="1"/>
  <c r="D195" i="1"/>
  <c r="D197" i="1"/>
  <c r="D348" i="1"/>
  <c r="D199" i="1"/>
  <c r="D325" i="1"/>
  <c r="D200" i="1"/>
  <c r="D326" i="1"/>
  <c r="D202" i="1"/>
  <c r="D350" i="1"/>
  <c r="D13" i="1"/>
  <c r="D329" i="1"/>
  <c r="D205" i="1"/>
  <c r="D223" i="1"/>
  <c r="D23" i="1"/>
  <c r="D207" i="1"/>
  <c r="D208" i="1"/>
  <c r="D333" i="1"/>
  <c r="D209" i="1"/>
  <c r="D336" i="1"/>
  <c r="D337" i="1"/>
  <c r="D212" i="1"/>
  <c r="D215" i="1"/>
  <c r="D340" i="1"/>
  <c r="D341" i="1"/>
  <c r="D339" i="1"/>
  <c r="D217" i="1"/>
  <c r="D343" i="1"/>
  <c r="D222" i="1"/>
  <c r="D225" i="1"/>
  <c r="D41" i="1"/>
  <c r="D227" i="1"/>
  <c r="D228" i="1"/>
  <c r="D351" i="1"/>
  <c r="D75" i="1"/>
  <c r="D29" i="1"/>
  <c r="D353" i="1"/>
  <c r="D76" i="1"/>
  <c r="D356" i="1"/>
  <c r="D42" i="1"/>
  <c r="D358" i="1"/>
  <c r="D232" i="1"/>
  <c r="D10" i="1"/>
  <c r="D359" i="1"/>
  <c r="D361" i="1"/>
  <c r="D362" i="1"/>
  <c r="D363" i="1"/>
  <c r="D77" i="1"/>
  <c r="D234" i="1"/>
  <c r="D235" i="1"/>
  <c r="D368" i="1"/>
  <c r="D369" i="1"/>
  <c r="D78" i="1"/>
  <c r="D43" i="1"/>
  <c r="D44" i="1"/>
  <c r="D240" i="1"/>
  <c r="D241" i="1"/>
  <c r="D370" i="1"/>
  <c r="D365" i="1"/>
  <c r="D238" i="1"/>
  <c r="D367" i="1"/>
  <c r="D244" i="1"/>
  <c r="D372" i="1"/>
  <c r="D81" i="1"/>
  <c r="D374" i="1"/>
  <c r="D246" i="1"/>
  <c r="D376" i="1"/>
  <c r="D17" i="1"/>
  <c r="D247" i="1"/>
  <c r="D14" i="1"/>
  <c r="D249" i="1"/>
  <c r="D250" i="1"/>
  <c r="D251" i="1"/>
  <c r="D252" i="1"/>
  <c r="D253" i="1"/>
  <c r="D383" i="1"/>
  <c r="D378" i="1"/>
  <c r="D379" i="1"/>
  <c r="D255" i="1"/>
  <c r="D380" i="1"/>
  <c r="D83" i="1"/>
  <c r="D381" i="1"/>
  <c r="D258" i="1"/>
  <c r="D84" i="1"/>
  <c r="D259" i="1"/>
  <c r="D85" i="1"/>
  <c r="D86" i="1"/>
  <c r="D260" i="1"/>
  <c r="D262" i="1"/>
  <c r="D388" i="1"/>
</calcChain>
</file>

<file path=xl/sharedStrings.xml><?xml version="1.0" encoding="utf-8"?>
<sst xmlns="http://schemas.openxmlformats.org/spreadsheetml/2006/main" count="4793" uniqueCount="1544">
  <si>
    <t>uid</t>
  </si>
  <si>
    <t>nces_school_id</t>
  </si>
  <si>
    <t>school_name</t>
  </si>
  <si>
    <t>nces_district_id</t>
  </si>
  <si>
    <t>district_name</t>
  </si>
  <si>
    <t>date</t>
  </si>
  <si>
    <t>school_year</t>
  </si>
  <si>
    <t>year</t>
  </si>
  <si>
    <t>time</t>
  </si>
  <si>
    <t>day_of_week</t>
  </si>
  <si>
    <t>city</t>
  </si>
  <si>
    <t>state</t>
  </si>
  <si>
    <t>school_type</t>
  </si>
  <si>
    <t>enrollment</t>
  </si>
  <si>
    <t>killed</t>
  </si>
  <si>
    <t>injured</t>
  </si>
  <si>
    <t>casualties</t>
  </si>
  <si>
    <t>shooting_type</t>
  </si>
  <si>
    <t>age_shooter1</t>
  </si>
  <si>
    <t>gender_shooter1</t>
  </si>
  <si>
    <t>race_ethnicity_shooter1</t>
  </si>
  <si>
    <t>shooter_relationship1</t>
  </si>
  <si>
    <t>shooter_deceased1</t>
  </si>
  <si>
    <t>deceased_notes1</t>
  </si>
  <si>
    <t>age_shooter2</t>
  </si>
  <si>
    <t>gender_shooter2</t>
  </si>
  <si>
    <t>race_ethnicity_shooter2</t>
  </si>
  <si>
    <t>shooter_relationship2</t>
  </si>
  <si>
    <t>shooter_deceased2</t>
  </si>
  <si>
    <t>deceased_notes2</t>
  </si>
  <si>
    <t>white</t>
  </si>
  <si>
    <t>black</t>
  </si>
  <si>
    <t>hispanic</t>
  </si>
  <si>
    <t>asian</t>
  </si>
  <si>
    <t>american_indian_alaska_native</t>
  </si>
  <si>
    <t>hawaiian_native_pacific_islander</t>
  </si>
  <si>
    <t>two_or_more</t>
  </si>
  <si>
    <t>resource_officer</t>
  </si>
  <si>
    <t>weapon</t>
  </si>
  <si>
    <t>weapon_source</t>
  </si>
  <si>
    <t>lat</t>
  </si>
  <si>
    <t>long</t>
  </si>
  <si>
    <t>staffing</t>
  </si>
  <si>
    <t>low_grade</t>
  </si>
  <si>
    <t>high_grade</t>
  </si>
  <si>
    <t>lunch</t>
  </si>
  <si>
    <t>county</t>
  </si>
  <si>
    <t>state_fips</t>
  </si>
  <si>
    <t>county_fips</t>
  </si>
  <si>
    <t>ulocale</t>
  </si>
  <si>
    <t>Columbine High School</t>
  </si>
  <si>
    <t>Jefferson County R-1</t>
  </si>
  <si>
    <t>1998-1999</t>
  </si>
  <si>
    <t>Tuesday</t>
  </si>
  <si>
    <t>Littleton</t>
  </si>
  <si>
    <t>Colorado</t>
  </si>
  <si>
    <t>public</t>
  </si>
  <si>
    <t>indiscriminate</t>
  </si>
  <si>
    <t>m</t>
  </si>
  <si>
    <t>w</t>
  </si>
  <si>
    <t>student</t>
  </si>
  <si>
    <t>suicide</t>
  </si>
  <si>
    <t>12-gauge Savage-Springfield 67H pump-action shotgun, Hi-Point 995 Carbine 9 mm carbine, 9_19mm Intratec TEC-9 semi-automatic handgun, 12-gauge Stevens 311D double-barreled sawed-off shotgun</t>
  </si>
  <si>
    <t>purchased from friends</t>
  </si>
  <si>
    <t>Jefferson County</t>
  </si>
  <si>
    <t>Scotlandville Middle School</t>
  </si>
  <si>
    <t>East Baton Rouge Parish School Board</t>
  </si>
  <si>
    <t>Thursday</t>
  </si>
  <si>
    <t>Baton Rouge</t>
  </si>
  <si>
    <t>Louisiana</t>
  </si>
  <si>
    <t>targeted</t>
  </si>
  <si>
    <t>former student (expelled)</t>
  </si>
  <si>
    <t>.22 caliber pistol</t>
  </si>
  <si>
    <t>East Baton Rouge Parish</t>
  </si>
  <si>
    <t>Heritage High School</t>
  </si>
  <si>
    <t>Rockdale County</t>
  </si>
  <si>
    <t>Conyers</t>
  </si>
  <si>
    <t>Georgia</t>
  </si>
  <si>
    <t>.22 caliber rifle, 357-caliber Magnum handgun</t>
  </si>
  <si>
    <t>John Bartram High School</t>
  </si>
  <si>
    <t>Philadelphia City SD</t>
  </si>
  <si>
    <t>1999-2000</t>
  </si>
  <si>
    <t>Monday</t>
  </si>
  <si>
    <t>Philadelphia</t>
  </si>
  <si>
    <t>Pennsylvania</t>
  </si>
  <si>
    <t>RG .25-caliber pistol</t>
  </si>
  <si>
    <t>purchased from friend</t>
  </si>
  <si>
    <t>Philadelphia County</t>
  </si>
  <si>
    <t>Dorchester High School</t>
  </si>
  <si>
    <t>Boston</t>
  </si>
  <si>
    <t>Wednesday</t>
  </si>
  <si>
    <t>Massachusetts</t>
  </si>
  <si>
    <t>Suffolk County</t>
  </si>
  <si>
    <t>Deming Middle School</t>
  </si>
  <si>
    <t>Deming Public Schools</t>
  </si>
  <si>
    <t>Friday</t>
  </si>
  <si>
    <t>Deming</t>
  </si>
  <si>
    <t>New Mexico</t>
  </si>
  <si>
    <t>accidental or targeted</t>
  </si>
  <si>
    <t>h</t>
  </si>
  <si>
    <t>.22-caliber Colt revolver</t>
  </si>
  <si>
    <t>home</t>
  </si>
  <si>
    <t>Luna County</t>
  </si>
  <si>
    <t>Fort Gibson Middle School</t>
  </si>
  <si>
    <t>Fort Gibson</t>
  </si>
  <si>
    <t>Oklahoma</t>
  </si>
  <si>
    <t>ai</t>
  </si>
  <si>
    <t>Taurus 9mm pistol</t>
  </si>
  <si>
    <t>father</t>
  </si>
  <si>
    <t>Muskogee County</t>
  </si>
  <si>
    <t>Ridgewood High School</t>
  </si>
  <si>
    <t>Pasco</t>
  </si>
  <si>
    <t>New Port Richey</t>
  </si>
  <si>
    <t>Florida</t>
  </si>
  <si>
    <t>accidental</t>
  </si>
  <si>
    <t>.22-caliber Magnum handgun</t>
  </si>
  <si>
    <t>stolen</t>
  </si>
  <si>
    <t>Pasco County</t>
  </si>
  <si>
    <t>Alicia Reyes Elementary School</t>
  </si>
  <si>
    <t>Merced City Elementary</t>
  </si>
  <si>
    <t>Merced</t>
  </si>
  <si>
    <t>California</t>
  </si>
  <si>
    <t>no connection</t>
  </si>
  <si>
    <t>.22 caliber revolver</t>
  </si>
  <si>
    <t>KG</t>
  </si>
  <si>
    <t>Merced County</t>
  </si>
  <si>
    <t>Duke Ellington Elementary School</t>
  </si>
  <si>
    <t>City of Chicago School District 299</t>
  </si>
  <si>
    <t>Chicago</t>
  </si>
  <si>
    <t>Illinois</t>
  </si>
  <si>
    <t>PK</t>
  </si>
  <si>
    <t>Cook County</t>
  </si>
  <si>
    <t>Horn Lake High School</t>
  </si>
  <si>
    <t>Desoto County School District</t>
  </si>
  <si>
    <t>Horn Lake</t>
  </si>
  <si>
    <t>Mississippi</t>
  </si>
  <si>
    <t>handgun</t>
  </si>
  <si>
    <t>DeSoto County</t>
  </si>
  <si>
    <t>Tecumseh High School</t>
  </si>
  <si>
    <t>Tecumseh</t>
  </si>
  <si>
    <t>former boyfriend of student</t>
  </si>
  <si>
    <t>Pottawatomie County</t>
  </si>
  <si>
    <t>Buell Elementary School</t>
  </si>
  <si>
    <t>Beecher Community School District</t>
  </si>
  <si>
    <t>Mount Morris Township</t>
  </si>
  <si>
    <t>Michigan</t>
  </si>
  <si>
    <t>b</t>
  </si>
  <si>
    <t>.32-caliber semiautomatic handgun</t>
  </si>
  <si>
    <t>uncle's friend, found in open shoebox</t>
  </si>
  <si>
    <t>Genesee County</t>
  </si>
  <si>
    <t>Hugo High School</t>
  </si>
  <si>
    <t>Hugo</t>
  </si>
  <si>
    <t>f</t>
  </si>
  <si>
    <t>parent of student</t>
  </si>
  <si>
    <t>small-caliber pistol</t>
  </si>
  <si>
    <t>legally purchased by shooter</t>
  </si>
  <si>
    <t>Choctaw County</t>
  </si>
  <si>
    <t>Carmichael Elementary School</t>
  </si>
  <si>
    <t>Sierra Vista Unified District</t>
  </si>
  <si>
    <t>Sierra Vista</t>
  </si>
  <si>
    <t>Arizona</t>
  </si>
  <si>
    <t>spouse of teacher</t>
  </si>
  <si>
    <t>Cochise County</t>
  </si>
  <si>
    <t>Lake Worth Middle School</t>
  </si>
  <si>
    <t>Palm Beach County School District</t>
  </si>
  <si>
    <t>Lake Worth</t>
  </si>
  <si>
    <t>.25-caliber handgun</t>
  </si>
  <si>
    <t>grandfather</t>
  </si>
  <si>
    <t>Palm Beach County</t>
  </si>
  <si>
    <t>Dimmitt Middle School</t>
  </si>
  <si>
    <t>Renton</t>
  </si>
  <si>
    <t>Washington</t>
  </si>
  <si>
    <t>student in summer school</t>
  </si>
  <si>
    <t>.22-caliber handgun</t>
  </si>
  <si>
    <t>grandparents</t>
  </si>
  <si>
    <t>King County</t>
  </si>
  <si>
    <t>Mount Healthy North Junior High</t>
  </si>
  <si>
    <t>Mount Healthy City SD</t>
  </si>
  <si>
    <t>2000-2001</t>
  </si>
  <si>
    <t>Mount Healthy</t>
  </si>
  <si>
    <t>Ohio</t>
  </si>
  <si>
    <t>.380-caliber semiautomatic handgun</t>
  </si>
  <si>
    <t>relatives</t>
  </si>
  <si>
    <t>Hamilton County</t>
  </si>
  <si>
    <t>Carter G. Woodson Middle School</t>
  </si>
  <si>
    <t>Orleans Parish School Board</t>
  </si>
  <si>
    <t>New Orleans</t>
  </si>
  <si>
    <t>.38-caliber revolver</t>
  </si>
  <si>
    <t>Orleans Parish</t>
  </si>
  <si>
    <t>Hueneme High School</t>
  </si>
  <si>
    <t>Oxnard Union High</t>
  </si>
  <si>
    <t>Oxnard</t>
  </si>
  <si>
    <t>not a student but often hung around the school</t>
  </si>
  <si>
    <t>killed by police</t>
  </si>
  <si>
    <t>Ventura County</t>
  </si>
  <si>
    <t>Lake Clifton Eastern High School</t>
  </si>
  <si>
    <t>Baltimore City Public Schools</t>
  </si>
  <si>
    <t>Baltimore</t>
  </si>
  <si>
    <t>Maryland</t>
  </si>
  <si>
    <t>none</t>
  </si>
  <si>
    <t>.32-caliber handgun</t>
  </si>
  <si>
    <t>Baltimore City</t>
  </si>
  <si>
    <t>Pearl C. Anderson Middle School</t>
  </si>
  <si>
    <t>Dallas ISD</t>
  </si>
  <si>
    <t>Dallas</t>
  </si>
  <si>
    <t>Texas</t>
  </si>
  <si>
    <t>student (suspended)</t>
  </si>
  <si>
    <t>small revolver</t>
  </si>
  <si>
    <t>Dallas County</t>
  </si>
  <si>
    <t>Santana High School</t>
  </si>
  <si>
    <t>Grossmont Union High</t>
  </si>
  <si>
    <t>Santee</t>
  </si>
  <si>
    <t>.22-caliber revolver</t>
  </si>
  <si>
    <t>San Diego County</t>
  </si>
  <si>
    <t>Bishop Neumann Junior-Senior High</t>
  </si>
  <si>
    <t>Williamsport</t>
  </si>
  <si>
    <t>private</t>
  </si>
  <si>
    <t>Lycoming County</t>
  </si>
  <si>
    <t>Granite Hills High School</t>
  </si>
  <si>
    <t>El Cajon</t>
  </si>
  <si>
    <t>targeted and indiscriminate</t>
  </si>
  <si>
    <t>Mossberg pump-action 12-gauge shotgun</t>
  </si>
  <si>
    <t>Lew Wallace High School</t>
  </si>
  <si>
    <t>Gary Community School Corp</t>
  </si>
  <si>
    <t>Gary</t>
  </si>
  <si>
    <t>Indiana</t>
  </si>
  <si>
    <t>pistol</t>
  </si>
  <si>
    <t>Lake County</t>
  </si>
  <si>
    <t>Monroe City Alternative Center</t>
  </si>
  <si>
    <t>City of Monroe School Board</t>
  </si>
  <si>
    <t>Monroe</t>
  </si>
  <si>
    <t>.380 caliber semi-automatic pistol</t>
  </si>
  <si>
    <t>Ouachita Parish</t>
  </si>
  <si>
    <t>Ennis High School</t>
  </si>
  <si>
    <t>Ennis ISD</t>
  </si>
  <si>
    <t>Ennis</t>
  </si>
  <si>
    <t>hostage suicide</t>
  </si>
  <si>
    <t>.357 Magnum pistol</t>
  </si>
  <si>
    <t>Ellis County</t>
  </si>
  <si>
    <t>Belmont High School</t>
  </si>
  <si>
    <t>Los Angeles Unified</t>
  </si>
  <si>
    <t>Los Angeles</t>
  </si>
  <si>
    <t>revolver</t>
  </si>
  <si>
    <t>Los Angeles County</t>
  </si>
  <si>
    <t>Latonia Elementary School</t>
  </si>
  <si>
    <t>Covington Independent</t>
  </si>
  <si>
    <t>2001-2002</t>
  </si>
  <si>
    <t>Covington</t>
  </si>
  <si>
    <t>Kentucky</t>
  </si>
  <si>
    <t>.380-caliber semiautomatic pistol</t>
  </si>
  <si>
    <t>Kenton County</t>
  </si>
  <si>
    <t>Redondo Union High School</t>
  </si>
  <si>
    <t>Redondo Beach Unified</t>
  </si>
  <si>
    <t>Redondo Beach</t>
  </si>
  <si>
    <t>.38-caliber handgun</t>
  </si>
  <si>
    <t>Caro Learning Center</t>
  </si>
  <si>
    <t>Caro Community Schools</t>
  </si>
  <si>
    <t>Caro</t>
  </si>
  <si>
    <t>20-guage shotgun</t>
  </si>
  <si>
    <t>Tuscola County</t>
  </si>
  <si>
    <t>Martin Luther King, Jr. High School</t>
  </si>
  <si>
    <t>New York City Public Schools</t>
  </si>
  <si>
    <t>New York City</t>
  </si>
  <si>
    <t>New York</t>
  </si>
  <si>
    <t>Lorcin .380-caliber semiautomatic pistol</t>
  </si>
  <si>
    <t>illegally purchased</t>
  </si>
  <si>
    <t>New York County</t>
  </si>
  <si>
    <t>Gardena High School</t>
  </si>
  <si>
    <t>Benjamin Tasker Middle School</t>
  </si>
  <si>
    <t>Prince George's County Public Schools</t>
  </si>
  <si>
    <t>2002-2003</t>
  </si>
  <si>
    <t>Bowie</t>
  </si>
  <si>
    <t>Bushmaster XM-15 rifle</t>
  </si>
  <si>
    <t>Prince George's County</t>
  </si>
  <si>
    <t>Lincoln High School</t>
  </si>
  <si>
    <t>Jersey City</t>
  </si>
  <si>
    <t>New Jersey</t>
  </si>
  <si>
    <t>Browning .380-caliber pistol</t>
  </si>
  <si>
    <t>Hudson County</t>
  </si>
  <si>
    <t>St. James Catholic School</t>
  </si>
  <si>
    <t>Liberty</t>
  </si>
  <si>
    <t>Missouri</t>
  </si>
  <si>
    <t>Clay County</t>
  </si>
  <si>
    <t>Mount Pleasant High School</t>
  </si>
  <si>
    <t>Providence School District</t>
  </si>
  <si>
    <t>Providence</t>
  </si>
  <si>
    <t>Rhode Island</t>
  </si>
  <si>
    <t>22-caliber semi-automatic</t>
  </si>
  <si>
    <t>Providence County</t>
  </si>
  <si>
    <t>Ranum High School</t>
  </si>
  <si>
    <t>Westminster 50</t>
  </si>
  <si>
    <t>Westminster</t>
  </si>
  <si>
    <t>small semi-automatic handgun</t>
  </si>
  <si>
    <t>Adams County</t>
  </si>
  <si>
    <t>Cardozo High School</t>
  </si>
  <si>
    <t>District Of Columbia Pub Schls</t>
  </si>
  <si>
    <t>District of Columbia</t>
  </si>
  <si>
    <t>John McDonogh High School</t>
  </si>
  <si>
    <t>AK-47 and semiautomatic pistol</t>
  </si>
  <si>
    <t>Delhi Middle School</t>
  </si>
  <si>
    <t>Delhi Unified</t>
  </si>
  <si>
    <t>Delhi</t>
  </si>
  <si>
    <t>Red Lion Area Junior High School</t>
  </si>
  <si>
    <t>Red Lion Area SD</t>
  </si>
  <si>
    <t>Red Lion</t>
  </si>
  <si>
    <t>.44-caliber handgun, .22-caliber gun to kill himself</t>
  </si>
  <si>
    <t>stepfather</t>
  </si>
  <si>
    <t>York County</t>
  </si>
  <si>
    <t>Vicksburg High School</t>
  </si>
  <si>
    <t>Vicksburg Warren School Dist</t>
  </si>
  <si>
    <t>2003-2004</t>
  </si>
  <si>
    <t>Vicksburg</t>
  </si>
  <si>
    <t>Warren County</t>
  </si>
  <si>
    <t>Lewis and Clark High School</t>
  </si>
  <si>
    <t>Spokane School District</t>
  </si>
  <si>
    <t>Spokane</t>
  </si>
  <si>
    <t>9 millimeter semiautomatic pistol</t>
  </si>
  <si>
    <t>Spokane County</t>
  </si>
  <si>
    <t>Rocori High School</t>
  </si>
  <si>
    <t>Rocori</t>
  </si>
  <si>
    <t>Cold Spring</t>
  </si>
  <si>
    <t>Minnesota</t>
  </si>
  <si>
    <t>Stearns County</t>
  </si>
  <si>
    <t>Burns Middle School</t>
  </si>
  <si>
    <t>Cleveland County Schools</t>
  </si>
  <si>
    <t>Lawndale</t>
  </si>
  <si>
    <t>North Carolina</t>
  </si>
  <si>
    <t>9mm handgun</t>
  </si>
  <si>
    <t>Cleveland County</t>
  </si>
  <si>
    <t>Rio Cazadero High School</t>
  </si>
  <si>
    <t>Elk Grove Unified</t>
  </si>
  <si>
    <t>Sacramento</t>
  </si>
  <si>
    <t>multiple officers</t>
  </si>
  <si>
    <t>officer weapons</t>
  </si>
  <si>
    <t>police</t>
  </si>
  <si>
    <t>Sacramento County</t>
  </si>
  <si>
    <t>East Mecklenburg High School</t>
  </si>
  <si>
    <t>Charlotte-Mecklenburg Schools</t>
  </si>
  <si>
    <t>Charlotte</t>
  </si>
  <si>
    <t>Mecklenburg County</t>
  </si>
  <si>
    <t>Ballou High School</t>
  </si>
  <si>
    <t>.380-caliber pistol</t>
  </si>
  <si>
    <t>puchased by shooter and friends</t>
  </si>
  <si>
    <t>Columbia High School</t>
  </si>
  <si>
    <t>East Greenbush Central School District</t>
  </si>
  <si>
    <t>East Greenbush</t>
  </si>
  <si>
    <t>12-gauge Winchester shotgun</t>
  </si>
  <si>
    <t>RENSSELAER</t>
  </si>
  <si>
    <t>T.M. Peirce Elementary School</t>
  </si>
  <si>
    <t>carbine rifle, assault weapon</t>
  </si>
  <si>
    <t>Castlemont High School</t>
  </si>
  <si>
    <t>Oakland Unified</t>
  </si>
  <si>
    <t>Oakland</t>
  </si>
  <si>
    <t>Alameda County</t>
  </si>
  <si>
    <t>Proviso East High School</t>
  </si>
  <si>
    <t>Proviso Twp H S Dist 209</t>
  </si>
  <si>
    <t>2004-2005</t>
  </si>
  <si>
    <t>Maywood</t>
  </si>
  <si>
    <t>Wirt High School</t>
  </si>
  <si>
    <t>Thurgood Marshall High School</t>
  </si>
  <si>
    <t>Booker T. Washington High School</t>
  </si>
  <si>
    <t>security guard</t>
  </si>
  <si>
    <t>department issued</t>
  </si>
  <si>
    <t>A9902648</t>
  </si>
  <si>
    <t>Emmanuel Christian Academy</t>
  </si>
  <si>
    <t>Jackson</t>
  </si>
  <si>
    <t>.22 caliber handgun</t>
  </si>
  <si>
    <t>Hinds County</t>
  </si>
  <si>
    <t>Woodruff High School</t>
  </si>
  <si>
    <t>Peoria School District 150</t>
  </si>
  <si>
    <t>Peoria</t>
  </si>
  <si>
    <t>Peoria County</t>
  </si>
  <si>
    <t>Bowen High School</t>
  </si>
  <si>
    <t>City Of Chicago School Dist 299</t>
  </si>
  <si>
    <t>Maplewood Comprehensive High School</t>
  </si>
  <si>
    <t>Nashville-Davidson County SD</t>
  </si>
  <si>
    <t>Nashville</t>
  </si>
  <si>
    <t>Tennessee</t>
  </si>
  <si>
    <t>Davidson County</t>
  </si>
  <si>
    <t>Red Lake High School</t>
  </si>
  <si>
    <t>Red Lake</t>
  </si>
  <si>
    <t>former student</t>
  </si>
  <si>
    <t>.40 caliber Glock 23 pistol, 870 12 gauge pump-action shotgun</t>
  </si>
  <si>
    <t>Beltrami County</t>
  </si>
  <si>
    <t>Canton High School</t>
  </si>
  <si>
    <t>Canton ISD</t>
  </si>
  <si>
    <t>Canton</t>
  </si>
  <si>
    <t>father of football player</t>
  </si>
  <si>
    <t>.45-caliber pistol</t>
  </si>
  <si>
    <t>Van Zandt County</t>
  </si>
  <si>
    <t>Highland Elementary School</t>
  </si>
  <si>
    <t>West Shore SD</t>
  </si>
  <si>
    <t>Lower Allen Township</t>
  </si>
  <si>
    <t>dating mother of student</t>
  </si>
  <si>
    <t>9 mm semiautomatic handgun</t>
  </si>
  <si>
    <t>Cumberland County</t>
  </si>
  <si>
    <t>Maury Middle School</t>
  </si>
  <si>
    <t>Jefferson County School District</t>
  </si>
  <si>
    <t>2005-2006</t>
  </si>
  <si>
    <t>Jacksboro</t>
  </si>
  <si>
    <t>.38-caliber Smith &amp; Wesson, .22-caliber handgun</t>
  </si>
  <si>
    <t>guardian (uncle)</t>
  </si>
  <si>
    <t>Sojourner Truth High School</t>
  </si>
  <si>
    <t>Duval County School District</t>
  </si>
  <si>
    <t>Jacksonville</t>
  </si>
  <si>
    <t>Duval County</t>
  </si>
  <si>
    <t>Harlan Community Academy High School</t>
  </si>
  <si>
    <t>City Of Chicago Sd 299</t>
  </si>
  <si>
    <t>Farmington High School</t>
  </si>
  <si>
    <t>Farmington R-VII</t>
  </si>
  <si>
    <t>Farmington</t>
  </si>
  <si>
    <t>single-shot shotgun</t>
  </si>
  <si>
    <t>St. Francois County</t>
  </si>
  <si>
    <t>Saginaw High School</t>
  </si>
  <si>
    <t>Saginaw City School District</t>
  </si>
  <si>
    <t>Saginaw</t>
  </si>
  <si>
    <t>.380-caliber handgun</t>
  </si>
  <si>
    <t>Saginaw County</t>
  </si>
  <si>
    <t>Campbell County High School</t>
  </si>
  <si>
    <t>Campbell County School Distrct</t>
  </si>
  <si>
    <t>.22-caliber pistol</t>
  </si>
  <si>
    <t>Campbell County</t>
  </si>
  <si>
    <t>Central High School</t>
  </si>
  <si>
    <t>Detroit City School District</t>
  </si>
  <si>
    <t>Detroit</t>
  </si>
  <si>
    <t>Wayne County</t>
  </si>
  <si>
    <t>Mary McLeod Bethune Academy</t>
  </si>
  <si>
    <t>Milwaukee Sch Dist</t>
  </si>
  <si>
    <t>Milwaukee</t>
  </si>
  <si>
    <t>Wisconsin</t>
  </si>
  <si>
    <t>Milwaukee County</t>
  </si>
  <si>
    <t>Milwee Middle School</t>
  </si>
  <si>
    <t>Seminole County School District</t>
  </si>
  <si>
    <t>Longwood</t>
  </si>
  <si>
    <t>SWAT officer</t>
  </si>
  <si>
    <t>high-powered rifle</t>
  </si>
  <si>
    <t>police issued</t>
  </si>
  <si>
    <t>Seminole County</t>
  </si>
  <si>
    <t>Indian River High School</t>
  </si>
  <si>
    <t>Chesapeake City Public Schools</t>
  </si>
  <si>
    <t>Chesapeake</t>
  </si>
  <si>
    <t>Virginia</t>
  </si>
  <si>
    <t>Chesapeake City</t>
  </si>
  <si>
    <t>Will C. Wood High School</t>
  </si>
  <si>
    <t>Vacaville Unified</t>
  </si>
  <si>
    <t>Vacaville</t>
  </si>
  <si>
    <t>Solano County</t>
  </si>
  <si>
    <t>Lakeview Centennial High School</t>
  </si>
  <si>
    <t>Garland ISD</t>
  </si>
  <si>
    <t>Garland</t>
  </si>
  <si>
    <t>small-caliber semiautomatic handgun</t>
  </si>
  <si>
    <t>Westinghouse High School</t>
  </si>
  <si>
    <t>Pittsburgh SD</t>
  </si>
  <si>
    <t>Pittsburgh</t>
  </si>
  <si>
    <t>AK-47</t>
  </si>
  <si>
    <t>Allegheny County</t>
  </si>
  <si>
    <t>Roseburg High School</t>
  </si>
  <si>
    <t>Douglas County SD 4</t>
  </si>
  <si>
    <t>Roseburg</t>
  </si>
  <si>
    <t>Oregon</t>
  </si>
  <si>
    <t>large-caliber handgun with hollow-point bullets</t>
  </si>
  <si>
    <t>Douglas County</t>
  </si>
  <si>
    <t>Pine Middle School</t>
  </si>
  <si>
    <t>Washoe</t>
  </si>
  <si>
    <t>Reno</t>
  </si>
  <si>
    <t>Nevada</t>
  </si>
  <si>
    <t>.38-caliber pistol</t>
  </si>
  <si>
    <t>Washoe County</t>
  </si>
  <si>
    <t>Venice High School</t>
  </si>
  <si>
    <t>Orange High School</t>
  </si>
  <si>
    <t>Orange County Schools</t>
  </si>
  <si>
    <t>2006-2007</t>
  </si>
  <si>
    <t>Hillsborough</t>
  </si>
  <si>
    <t>9 mm rifle, a Mossburg 12-gauge sawed-off shotgun</t>
  </si>
  <si>
    <t>Orange County</t>
  </si>
  <si>
    <t>South Hills High School</t>
  </si>
  <si>
    <t>Fort Worth ISD</t>
  </si>
  <si>
    <t>Fort Worth</t>
  </si>
  <si>
    <t>resource officer</t>
  </si>
  <si>
    <t>police issued weapon</t>
  </si>
  <si>
    <t>Tarrant County</t>
  </si>
  <si>
    <t>Platte Canyon High School</t>
  </si>
  <si>
    <t>Platte Canyon, School District No. 1, Of The County Of Park</t>
  </si>
  <si>
    <t>Bailey</t>
  </si>
  <si>
    <t>.40 S&amp;W caliber Glock 22 pistol, Smith &amp; Wesson .357-caliber revolver</t>
  </si>
  <si>
    <t>Park County</t>
  </si>
  <si>
    <t>Weston High School</t>
  </si>
  <si>
    <t>Weston</t>
  </si>
  <si>
    <t>Cazenovia</t>
  </si>
  <si>
    <t>long-barrel shotgun, 22-pistol</t>
  </si>
  <si>
    <t>Sauk County</t>
  </si>
  <si>
    <t>West Nickel Mines Amish School</t>
  </si>
  <si>
    <t>Nickel Mines</t>
  </si>
  <si>
    <t>none; worked in community</t>
  </si>
  <si>
    <t>9mm handgun, a shotgun, a 30.06 rifle</t>
  </si>
  <si>
    <t>purchased legally by shooter</t>
  </si>
  <si>
    <t>Lancaster County</t>
  </si>
  <si>
    <t>Memorial Middle School</t>
  </si>
  <si>
    <t>Joplin R-VIII</t>
  </si>
  <si>
    <t>Joplin</t>
  </si>
  <si>
    <t>MAC 90 7.26 mm assault rifle</t>
  </si>
  <si>
    <t>parent</t>
  </si>
  <si>
    <t>Jasper County</t>
  </si>
  <si>
    <t>Henry Foss High School</t>
  </si>
  <si>
    <t>Tacoma School District</t>
  </si>
  <si>
    <t>Tacoma</t>
  </si>
  <si>
    <t>Peirce County</t>
  </si>
  <si>
    <t>Robert A. Taft Information Technology High School</t>
  </si>
  <si>
    <t>Cincinnati City</t>
  </si>
  <si>
    <t>Cincinnati</t>
  </si>
  <si>
    <t>William L.Sayre High School</t>
  </si>
  <si>
    <t>9 mm semi-automatic Ruger</t>
  </si>
  <si>
    <t>Herbert Henry Dow High School</t>
  </si>
  <si>
    <t>Midland Public Schools</t>
  </si>
  <si>
    <t>Midland</t>
  </si>
  <si>
    <t>girlfriend was student</t>
  </si>
  <si>
    <t>.44 caliber handgun</t>
  </si>
  <si>
    <t>Midland County</t>
  </si>
  <si>
    <t>Chicago Vocational Career Academy</t>
  </si>
  <si>
    <t>Springwater Trail High School</t>
  </si>
  <si>
    <t>Gresham-Barlow Sd 10J</t>
  </si>
  <si>
    <t>Gresham</t>
  </si>
  <si>
    <t>.270 Winchester rifle with scope</t>
  </si>
  <si>
    <t>Multnomah County</t>
  </si>
  <si>
    <t>Liberty Memorial Middle School</t>
  </si>
  <si>
    <t>Los Fresnos CISD</t>
  </si>
  <si>
    <t>Los Fresnos</t>
  </si>
  <si>
    <t>.38 semiautomatic handgun</t>
  </si>
  <si>
    <t>Cameron County</t>
  </si>
  <si>
    <t>George S. Middleton High School</t>
  </si>
  <si>
    <t>Tampa</t>
  </si>
  <si>
    <t>Hillsborough County</t>
  </si>
  <si>
    <t>SuccessTech Academy</t>
  </si>
  <si>
    <t>Cleveland Municipal City</t>
  </si>
  <si>
    <t>2007-2008</t>
  </si>
  <si>
    <t>Cleveland</t>
  </si>
  <si>
    <t>.22-caliber revolver, .38-caliber revolver</t>
  </si>
  <si>
    <t>Cuyahoga County</t>
  </si>
  <si>
    <t>Groves High School</t>
  </si>
  <si>
    <t>Chatham County</t>
  </si>
  <si>
    <t>Garden City</t>
  </si>
  <si>
    <t>Crossroads Charter High School</t>
  </si>
  <si>
    <t>Crossroads Charter High</t>
  </si>
  <si>
    <t>Hamilton High School</t>
  </si>
  <si>
    <t>Memphis City School District</t>
  </si>
  <si>
    <t>Memphis</t>
  </si>
  <si>
    <t>380-caliber handgun</t>
  </si>
  <si>
    <t>Shelby County</t>
  </si>
  <si>
    <t>Notre Dame Elementary School</t>
  </si>
  <si>
    <t>Portsmouth</t>
  </si>
  <si>
    <t>Scioto County</t>
  </si>
  <si>
    <t>Mitchell High School</t>
  </si>
  <si>
    <t>purchased from someone in apartment complex</t>
  </si>
  <si>
    <t>E.O. Green Junior High School</t>
  </si>
  <si>
    <t>Hueneme Elementary</t>
  </si>
  <si>
    <t>relative</t>
  </si>
  <si>
    <t>Friends of Children Head Start center</t>
  </si>
  <si>
    <t>Carthage</t>
  </si>
  <si>
    <t>.45-caliber handgun</t>
  </si>
  <si>
    <t>Leake County</t>
  </si>
  <si>
    <t>Roosevelt High School</t>
  </si>
  <si>
    <t>Fresno Unified</t>
  </si>
  <si>
    <t>Fresno</t>
  </si>
  <si>
    <t>Fresno County</t>
  </si>
  <si>
    <t>Knox County School District</t>
  </si>
  <si>
    <t>2008-2009</t>
  </si>
  <si>
    <t>Knoxville</t>
  </si>
  <si>
    <t>small-caliber, semiautomatic pistol</t>
  </si>
  <si>
    <t>Knox County</t>
  </si>
  <si>
    <t>Dillard High School</t>
  </si>
  <si>
    <t>Broward</t>
  </si>
  <si>
    <t>Fort Lauderdale</t>
  </si>
  <si>
    <t>.22-caliber semi-automatic handgun</t>
  </si>
  <si>
    <t>family member</t>
  </si>
  <si>
    <t>Broward County</t>
  </si>
  <si>
    <t>non-student</t>
  </si>
  <si>
    <t>John Muir Elementary School</t>
  </si>
  <si>
    <t>Hayward Unified</t>
  </si>
  <si>
    <t>Hayward</t>
  </si>
  <si>
    <t>shotgun</t>
  </si>
  <si>
    <t>Ribault High School</t>
  </si>
  <si>
    <t>Duval</t>
  </si>
  <si>
    <t>Larose-Cut Off Middle School</t>
  </si>
  <si>
    <t>Lafourche Parish</t>
  </si>
  <si>
    <t>Larose</t>
  </si>
  <si>
    <t>25-caliber nickel plate semi-automatic</t>
  </si>
  <si>
    <t>Stamford Academy</t>
  </si>
  <si>
    <t>2009-2010</t>
  </si>
  <si>
    <t>Stamford</t>
  </si>
  <si>
    <t>Connecticut</t>
  </si>
  <si>
    <t>Fairfield County</t>
  </si>
  <si>
    <t>Virginia Randolph Community High School</t>
  </si>
  <si>
    <t>Henrico Co Pblc Schs</t>
  </si>
  <si>
    <t>Glen Allen</t>
  </si>
  <si>
    <t>.40-caliber handgun</t>
  </si>
  <si>
    <t>Henrico County</t>
  </si>
  <si>
    <t>Mattituck Junior-Senior High School</t>
  </si>
  <si>
    <t>Mattituck-Cutchogue Union Free School District</t>
  </si>
  <si>
    <t>Mattituck</t>
  </si>
  <si>
    <t>22-caliber rifle</t>
  </si>
  <si>
    <t>mother</t>
  </si>
  <si>
    <t>Carolina Forest High School</t>
  </si>
  <si>
    <t>Horry 01</t>
  </si>
  <si>
    <t>Conway</t>
  </si>
  <si>
    <t>South Carolina</t>
  </si>
  <si>
    <t>school resource officer</t>
  </si>
  <si>
    <t>.40 caliber Glock</t>
  </si>
  <si>
    <t>Horry County</t>
  </si>
  <si>
    <t>Caddo Parish</t>
  </si>
  <si>
    <t>Shreveport</t>
  </si>
  <si>
    <t>ex-boyfriend of student</t>
  </si>
  <si>
    <t>Discovery Middle School</t>
  </si>
  <si>
    <t>Madison City</t>
  </si>
  <si>
    <t>Madison</t>
  </si>
  <si>
    <t>Alabama</t>
  </si>
  <si>
    <t>a</t>
  </si>
  <si>
    <t>friend's home</t>
  </si>
  <si>
    <t>Madison County</t>
  </si>
  <si>
    <t>Deer Creek Middle School</t>
  </si>
  <si>
    <t>Jefferson County School District No. R-1</t>
  </si>
  <si>
    <t>hunting rifle</t>
  </si>
  <si>
    <t>Woodrow Wilson High School</t>
  </si>
  <si>
    <t>Portsmouth City Pblc Schs</t>
  </si>
  <si>
    <t>Portsmouth City</t>
  </si>
  <si>
    <t>South Gate High School</t>
  </si>
  <si>
    <t>South Gate</t>
  </si>
  <si>
    <t>Sullivan Central High School</t>
  </si>
  <si>
    <t>Sullivan County</t>
  </si>
  <si>
    <t>2010-2011</t>
  </si>
  <si>
    <t>Blountville</t>
  </si>
  <si>
    <t>police officer</t>
  </si>
  <si>
    <t>Socastee High School</t>
  </si>
  <si>
    <t>Alisal High School</t>
  </si>
  <si>
    <t>Salinas Union High</t>
  </si>
  <si>
    <t>Salinas</t>
  </si>
  <si>
    <t>Monterey County</t>
  </si>
  <si>
    <t>Kelly Elementary School</t>
  </si>
  <si>
    <t>Carlsbad Unified</t>
  </si>
  <si>
    <t>Carlsbad</t>
  </si>
  <si>
    <t>.357-caliber magnum revolver</t>
  </si>
  <si>
    <t>Marinette High School</t>
  </si>
  <si>
    <t>Marinette School District</t>
  </si>
  <si>
    <t>Marinette</t>
  </si>
  <si>
    <t>Marinette County</t>
  </si>
  <si>
    <t>Millard South High School</t>
  </si>
  <si>
    <t>Millard Public Schools</t>
  </si>
  <si>
    <t>Omaha</t>
  </si>
  <si>
    <t>Nebraska</t>
  </si>
  <si>
    <t>Glock .40-caliber S&amp;W pistol</t>
  </si>
  <si>
    <t>9-mm Beretta handgun</t>
  </si>
  <si>
    <t>Louisiana Schnell Elementary School</t>
  </si>
  <si>
    <t>Placerville Union Elementary</t>
  </si>
  <si>
    <t>Placerville</t>
  </si>
  <si>
    <t>janitor</t>
  </si>
  <si>
    <t>.357-caliber revolver</t>
  </si>
  <si>
    <t>El Dorado County</t>
  </si>
  <si>
    <t>Martinsville West Middle</t>
  </si>
  <si>
    <t>M S D Martinsville Schools</t>
  </si>
  <si>
    <t>Martinsville</t>
  </si>
  <si>
    <t>Morgan County</t>
  </si>
  <si>
    <t>Sheeler Charter High School</t>
  </si>
  <si>
    <t>Orange</t>
  </si>
  <si>
    <t>Apopka</t>
  </si>
  <si>
    <t>Ross Elementary School</t>
  </si>
  <si>
    <t>Houston ISD</t>
  </si>
  <si>
    <t>Houston</t>
  </si>
  <si>
    <t>.380-caliber semi-automatic</t>
  </si>
  <si>
    <t>mother's friend, home shooter was staying</t>
  </si>
  <si>
    <t>Harris County</t>
  </si>
  <si>
    <t>Cape Fear High School</t>
  </si>
  <si>
    <t>Cumberland County Schools</t>
  </si>
  <si>
    <t>2011-2012</t>
  </si>
  <si>
    <t>Fayetteville</t>
  </si>
  <si>
    <t>.22-caliber Daisy rifle</t>
  </si>
  <si>
    <t>Cummings Middle School</t>
  </si>
  <si>
    <t>Brownsville ISD</t>
  </si>
  <si>
    <t>Brownsville</t>
  </si>
  <si>
    <t>North Forest High School</t>
  </si>
  <si>
    <t>North Forest ISD</t>
  </si>
  <si>
    <t>Walpole Elementary School</t>
  </si>
  <si>
    <t>Fall Mountain Regional School District</t>
  </si>
  <si>
    <t>Walpole</t>
  </si>
  <si>
    <t>New Hampshire</t>
  </si>
  <si>
    <t>public suicide (attempted)</t>
  </si>
  <si>
    <t>20-gauge shotgun</t>
  </si>
  <si>
    <t>Cheshire County</t>
  </si>
  <si>
    <t>Armin Jahr Elementary School</t>
  </si>
  <si>
    <t>Bremerton School District</t>
  </si>
  <si>
    <t>Bremerton</t>
  </si>
  <si>
    <t>.45 caliber handgun</t>
  </si>
  <si>
    <t>Kitsap County</t>
  </si>
  <si>
    <t>Chardon High School</t>
  </si>
  <si>
    <t>Chardon Local</t>
  </si>
  <si>
    <t>Chardon</t>
  </si>
  <si>
    <t>student at neighboring school, rode bus with some victims</t>
  </si>
  <si>
    <t>Ruger MK III .22 caliber semi-automatic handgun</t>
  </si>
  <si>
    <t>uncle</t>
  </si>
  <si>
    <t>Geauga County</t>
  </si>
  <si>
    <t>Episcopal School of Jacksonville</t>
  </si>
  <si>
    <t>fired teacher</t>
  </si>
  <si>
    <t>AK-47 assault-style rifle</t>
  </si>
  <si>
    <t>legally purchased at gun show</t>
  </si>
  <si>
    <t>LeFlore High School</t>
  </si>
  <si>
    <t>Mobile County</t>
  </si>
  <si>
    <t>Mobile</t>
  </si>
  <si>
    <t>suspended student from different campus</t>
  </si>
  <si>
    <t>Mary Scroggs Elementary School</t>
  </si>
  <si>
    <t>Chapel Hill-Carrboro Schools</t>
  </si>
  <si>
    <t>Chapel Hill</t>
  </si>
  <si>
    <t>parent of students</t>
  </si>
  <si>
    <t>Charter Arms .44 Bulldog revolver</t>
  </si>
  <si>
    <t>Perry Hall High School</t>
  </si>
  <si>
    <t>Baltimore County Public Schools</t>
  </si>
  <si>
    <t>2012-2013</t>
  </si>
  <si>
    <t>Baltimore County</t>
  </si>
  <si>
    <t>Normal Community High School</t>
  </si>
  <si>
    <t>Mclean County USD 5</t>
  </si>
  <si>
    <t>Normal</t>
  </si>
  <si>
    <t>.22-caliber Ruger pistol</t>
  </si>
  <si>
    <t>Mclean County</t>
  </si>
  <si>
    <t>Sandy Hook Elementary School</t>
  </si>
  <si>
    <t>Newtown School District</t>
  </si>
  <si>
    <t>Newtown</t>
  </si>
  <si>
    <t>Bushmaster XM15-E2S rifle</t>
  </si>
  <si>
    <t>A0300763</t>
  </si>
  <si>
    <t>Apostolic Revival Center and Christian School</t>
  </si>
  <si>
    <t>Fort Myers</t>
  </si>
  <si>
    <t>Lee County</t>
  </si>
  <si>
    <t>Taft Union High School</t>
  </si>
  <si>
    <t>Taft Union High</t>
  </si>
  <si>
    <t>Taft</t>
  </si>
  <si>
    <t>12-gauge shotgun</t>
  </si>
  <si>
    <t>older brother</t>
  </si>
  <si>
    <t>Kern County</t>
  </si>
  <si>
    <t>Price Middle School</t>
  </si>
  <si>
    <t>Atlanta Public Schools</t>
  </si>
  <si>
    <t>Atlanta</t>
  </si>
  <si>
    <t>small-caliber handgun</t>
  </si>
  <si>
    <t>Fulton County</t>
  </si>
  <si>
    <t>La Salle High School</t>
  </si>
  <si>
    <t>public suicide</t>
  </si>
  <si>
    <t>.45-caliber semi-automatic handgun</t>
  </si>
  <si>
    <t>Redland Middle School</t>
  </si>
  <si>
    <t>Dade</t>
  </si>
  <si>
    <t>Homestead</t>
  </si>
  <si>
    <t>.38 caliber handgun</t>
  </si>
  <si>
    <t>Miami-Dade County</t>
  </si>
  <si>
    <t>Ronald E. McNair Discovery Learning Academy</t>
  </si>
  <si>
    <t>Dekalb County</t>
  </si>
  <si>
    <t>2013-2014</t>
  </si>
  <si>
    <t>Decatur</t>
  </si>
  <si>
    <t>none apparent</t>
  </si>
  <si>
    <t>.762-caliber AK-47-style weapon, manufactured by Romarm/Cugar</t>
  </si>
  <si>
    <t>acquaintence of shooter</t>
  </si>
  <si>
    <t>Carver High School</t>
  </si>
  <si>
    <t>Winston Salem/Forsyth County Schools</t>
  </si>
  <si>
    <t>Winston-Salem</t>
  </si>
  <si>
    <t>Forsyth County</t>
  </si>
  <si>
    <t>A0300751</t>
  </si>
  <si>
    <t>Agape Christian Academy</t>
  </si>
  <si>
    <t>Pine Hills</t>
  </si>
  <si>
    <t>K</t>
  </si>
  <si>
    <t>Lanier High School</t>
  </si>
  <si>
    <t>Austin ISD</t>
  </si>
  <si>
    <t>Austin</t>
  </si>
  <si>
    <t>Travis County</t>
  </si>
  <si>
    <t>Sparks Middle School</t>
  </si>
  <si>
    <t>Washoe County School District</t>
  </si>
  <si>
    <t>Sparks</t>
  </si>
  <si>
    <t>Ruger SR9C semi-automatic handgun (9mm)</t>
  </si>
  <si>
    <t>Newman Elementary School</t>
  </si>
  <si>
    <t>Chino Valley Unified</t>
  </si>
  <si>
    <t>Chino</t>
  </si>
  <si>
    <t>AR-15</t>
  </si>
  <si>
    <t>police weapon</t>
  </si>
  <si>
    <t>San Bernardino County</t>
  </si>
  <si>
    <t>West Orange High School</t>
  </si>
  <si>
    <t>Winter Garden</t>
  </si>
  <si>
    <t>Arapahoe High School</t>
  </si>
  <si>
    <t>Littleton, School District No. 6, In The County Of Arapahoe</t>
  </si>
  <si>
    <t>Centennial</t>
  </si>
  <si>
    <t>Savage Arms Stevens Model 320 pump-action shotgun</t>
  </si>
  <si>
    <t>legally purchased by shooter at Cabela's</t>
  </si>
  <si>
    <t>Arapahoe County</t>
  </si>
  <si>
    <t>Liberty Technology Magnet High School</t>
  </si>
  <si>
    <t>Berrendo Middle School</t>
  </si>
  <si>
    <t>Roswell Independent Schools</t>
  </si>
  <si>
    <t>Roswell</t>
  </si>
  <si>
    <t>Chaves County</t>
  </si>
  <si>
    <t>King Elementary School</t>
  </si>
  <si>
    <t>Lancaster SD</t>
  </si>
  <si>
    <t>Lancaster</t>
  </si>
  <si>
    <t>unclear</t>
  </si>
  <si>
    <t>Delaware Valley Charter School</t>
  </si>
  <si>
    <t>Delaware Valley CHS</t>
  </si>
  <si>
    <t>Rebound High School</t>
  </si>
  <si>
    <t>Carbondale CHSD 165</t>
  </si>
  <si>
    <t>Carbondale</t>
  </si>
  <si>
    <t>Jackson County</t>
  </si>
  <si>
    <t>President Theodore Roosevelt High</t>
  </si>
  <si>
    <t>Hawaii Department Of Education</t>
  </si>
  <si>
    <t>Honolulu</t>
  </si>
  <si>
    <t>Hawaii</t>
  </si>
  <si>
    <t>Honolulu County</t>
  </si>
  <si>
    <t>Bend High School</t>
  </si>
  <si>
    <t>Bend-Lapine Administrative SD 1</t>
  </si>
  <si>
    <t>Bend</t>
  </si>
  <si>
    <t>legally owned by shooter</t>
  </si>
  <si>
    <t>Deschutes County</t>
  </si>
  <si>
    <t>Salisbury High School</t>
  </si>
  <si>
    <t>Rowan-Salisbury Schools</t>
  </si>
  <si>
    <t>Salisbury</t>
  </si>
  <si>
    <t>9mm gun (type unknown)</t>
  </si>
  <si>
    <t>Rowan County</t>
  </si>
  <si>
    <t>Success Academy</t>
  </si>
  <si>
    <t>Kansas City 33</t>
  </si>
  <si>
    <t>Raytown</t>
  </si>
  <si>
    <t>father of student</t>
  </si>
  <si>
    <t xml:space="preserve">.45-caliber handgun </t>
  </si>
  <si>
    <t>legally purchased at pawn shop that morning</t>
  </si>
  <si>
    <t>Benjamin Banneker High School</t>
  </si>
  <si>
    <t>College Park</t>
  </si>
  <si>
    <t>D. H. Conley High School</t>
  </si>
  <si>
    <t>Pitt County Schools</t>
  </si>
  <si>
    <t>Greenville</t>
  </si>
  <si>
    <t>student at rival school</t>
  </si>
  <si>
    <t>Pitt County</t>
  </si>
  <si>
    <t>Reynolds High School</t>
  </si>
  <si>
    <t>Reynolds SD 7</t>
  </si>
  <si>
    <t>Troutdale</t>
  </si>
  <si>
    <t>M4 AR-15 rifle</t>
  </si>
  <si>
    <t>brother</t>
  </si>
  <si>
    <t>Stellar Leadership Academy</t>
  </si>
  <si>
    <t>2014-2015</t>
  </si>
  <si>
    <t>Miami</t>
  </si>
  <si>
    <t>Fern Creek High School</t>
  </si>
  <si>
    <t>Louisville</t>
  </si>
  <si>
    <t>Albemarle High School</t>
  </si>
  <si>
    <t>Stanly County Schools</t>
  </si>
  <si>
    <t>Albemarle</t>
  </si>
  <si>
    <t>Stanly County</t>
  </si>
  <si>
    <t>Marysville Pilchuck High School</t>
  </si>
  <si>
    <t>Marysville School District</t>
  </si>
  <si>
    <t>Marysville</t>
  </si>
  <si>
    <t>n</t>
  </si>
  <si>
    <t>.40-caliber Beretta Px4 Storm handgun</t>
  </si>
  <si>
    <t>Snohomish County</t>
  </si>
  <si>
    <t>A1301728</t>
  </si>
  <si>
    <t>Hand in Hand Montessori</t>
  </si>
  <si>
    <t>Roseville</t>
  </si>
  <si>
    <t>Ramsey County</t>
  </si>
  <si>
    <t>North Thurston High School</t>
  </si>
  <si>
    <t>North Thurston Public Schools</t>
  </si>
  <si>
    <t>Lacey</t>
  </si>
  <si>
    <t>.357 Magnum</t>
  </si>
  <si>
    <t>Thurston County</t>
  </si>
  <si>
    <t>W.S. Hornsby Elementary School</t>
  </si>
  <si>
    <t>Richmond County</t>
  </si>
  <si>
    <t>2015-2016</t>
  </si>
  <si>
    <t>Augusta</t>
  </si>
  <si>
    <t>.380 semi-automatic handgun</t>
  </si>
  <si>
    <t>grandmother's boyfriend</t>
  </si>
  <si>
    <t>Harrisburg High School</t>
  </si>
  <si>
    <t>Harrisburg School District 41-2</t>
  </si>
  <si>
    <t>Harrisburg</t>
  </si>
  <si>
    <t>South Dakota</t>
  </si>
  <si>
    <t>Lincoln County</t>
  </si>
  <si>
    <t>Karen Wagner High School</t>
  </si>
  <si>
    <t>Judson ISD</t>
  </si>
  <si>
    <t>San Antonio</t>
  </si>
  <si>
    <t>friend of student</t>
  </si>
  <si>
    <t>Bexar County</t>
  </si>
  <si>
    <t>Vereen School</t>
  </si>
  <si>
    <t>Colquitt County</t>
  </si>
  <si>
    <t>Moultrie</t>
  </si>
  <si>
    <t>semiautomatic pistol</t>
  </si>
  <si>
    <t>Lecanto High School</t>
  </si>
  <si>
    <t>Citrus</t>
  </si>
  <si>
    <t>Lecanto</t>
  </si>
  <si>
    <t>Walther P1 9mm semiautomatic handgun</t>
  </si>
  <si>
    <t>Citrus County</t>
  </si>
  <si>
    <t>Harmony Grove High School</t>
  </si>
  <si>
    <t>Harmony Grove School District</t>
  </si>
  <si>
    <t>Camden</t>
  </si>
  <si>
    <t>Arkansas</t>
  </si>
  <si>
    <t>Ouachita County</t>
  </si>
  <si>
    <t>Benjamin Franklin High School</t>
  </si>
  <si>
    <t>Independence High School</t>
  </si>
  <si>
    <t>Glendale Union High School District</t>
  </si>
  <si>
    <t>Glendale</t>
  </si>
  <si>
    <t>9mm Beretta pistol</t>
  </si>
  <si>
    <t>classmate, who took from parents</t>
  </si>
  <si>
    <t>Maricopa County</t>
  </si>
  <si>
    <t>Madison High School</t>
  </si>
  <si>
    <t>Madison Local</t>
  </si>
  <si>
    <t>Middletown</t>
  </si>
  <si>
    <t>Sig Sauer P238</t>
  </si>
  <si>
    <t>family home</t>
  </si>
  <si>
    <t>Butler County</t>
  </si>
  <si>
    <t>Huffman High School</t>
  </si>
  <si>
    <t>Birmingham City</t>
  </si>
  <si>
    <t>Birmingham</t>
  </si>
  <si>
    <t>brother of student</t>
  </si>
  <si>
    <t>Alpine High School</t>
  </si>
  <si>
    <t>Alpine ISD</t>
  </si>
  <si>
    <t>2016-2017</t>
  </si>
  <si>
    <t>Alpine</t>
  </si>
  <si>
    <t>9-mm. semi-automatic handgun</t>
  </si>
  <si>
    <t>Brewster County</t>
  </si>
  <si>
    <t>Townville Elementary School</t>
  </si>
  <si>
    <t>Anderson 04</t>
  </si>
  <si>
    <t>Townville</t>
  </si>
  <si>
    <t>.40 caliber pistol</t>
  </si>
  <si>
    <t>Anderson County</t>
  </si>
  <si>
    <t>CF Vigor High School</t>
  </si>
  <si>
    <t>Prichard</t>
  </si>
  <si>
    <t>Linden-McKinley STEM Academy</t>
  </si>
  <si>
    <t>Columbus City School District</t>
  </si>
  <si>
    <t>Columbus</t>
  </si>
  <si>
    <t>Franklin County</t>
  </si>
  <si>
    <t>June Jordan High School for Equity</t>
  </si>
  <si>
    <t>San Francisco Unified</t>
  </si>
  <si>
    <t>San Francisco</t>
  </si>
  <si>
    <t>pistols</t>
  </si>
  <si>
    <t>San Francisco County</t>
  </si>
  <si>
    <t>Union Middle School</t>
  </si>
  <si>
    <t>Canyons District</t>
  </si>
  <si>
    <t>Sandy</t>
  </si>
  <si>
    <t>Utah</t>
  </si>
  <si>
    <t>Salt Lake County</t>
  </si>
  <si>
    <t>Bay City Western High School</t>
  </si>
  <si>
    <t>Bay City School District</t>
  </si>
  <si>
    <t>Auburn</t>
  </si>
  <si>
    <t>.380-caliber Sig Sauer pistol</t>
  </si>
  <si>
    <t>Bay County</t>
  </si>
  <si>
    <t>Mueller Park Jr. High</t>
  </si>
  <si>
    <t>Davis District</t>
  </si>
  <si>
    <t>Bountiful</t>
  </si>
  <si>
    <t>Davis County</t>
  </si>
  <si>
    <t>West Liberty-Salem Middle/High School</t>
  </si>
  <si>
    <t>West Liberty-Salem Local</t>
  </si>
  <si>
    <t>West Liberty</t>
  </si>
  <si>
    <t>Mossberg Model 500 12 gauge shotgun</t>
  </si>
  <si>
    <t>gift from grandparents</t>
  </si>
  <si>
    <t>Champaign County</t>
  </si>
  <si>
    <t>Scotlandville Magnet High School</t>
  </si>
  <si>
    <t>Robert E. Lee High School</t>
  </si>
  <si>
    <t>Montgomery County</t>
  </si>
  <si>
    <t>Montgomery</t>
  </si>
  <si>
    <t>North Park Elementary School</t>
  </si>
  <si>
    <t>San Bernardino City Unified</t>
  </si>
  <si>
    <t>San Bernardino</t>
  </si>
  <si>
    <t>husband of teacher</t>
  </si>
  <si>
    <t>Smith &amp; Wesson .357 Magnum revolver</t>
  </si>
  <si>
    <t>Moss Bluff Elementary School</t>
  </si>
  <si>
    <t>Calcasieu Parish</t>
  </si>
  <si>
    <t>Lake Charles</t>
  </si>
  <si>
    <t>.380 caliber semi-automatic handgun</t>
  </si>
  <si>
    <t>father's gun, kept by 17 year old who shared room with shooter</t>
  </si>
  <si>
    <t>Greensboro High School</t>
  </si>
  <si>
    <t>Hale County</t>
  </si>
  <si>
    <t>Greensboro</t>
  </si>
  <si>
    <t>Warren Elementary School</t>
  </si>
  <si>
    <t>City of Chicago SD 299</t>
  </si>
  <si>
    <t>Columbus Scioto 6-12</t>
  </si>
  <si>
    <t>2017-2018</t>
  </si>
  <si>
    <t>Freeman High School</t>
  </si>
  <si>
    <t>Freeman School District</t>
  </si>
  <si>
    <t>Rockford</t>
  </si>
  <si>
    <t>AR-15, pistol</t>
  </si>
  <si>
    <t>Mattoon High School</t>
  </si>
  <si>
    <t>Mattoon CUSD 2</t>
  </si>
  <si>
    <t>Mattoon</t>
  </si>
  <si>
    <t>.40-caliber Ruger semiautomatic pistol</t>
  </si>
  <si>
    <t>Coles County</t>
  </si>
  <si>
    <t>Pattengill Academy</t>
  </si>
  <si>
    <t>Lansing Public School District</t>
  </si>
  <si>
    <t>Lansing</t>
  </si>
  <si>
    <t>puchased legally by shooter from Dicker &amp; Deal</t>
  </si>
  <si>
    <t>Ingham County</t>
  </si>
  <si>
    <t>Rancho Tehama Elementary School</t>
  </si>
  <si>
    <t>Corning Union Elementary</t>
  </si>
  <si>
    <t>Corning</t>
  </si>
  <si>
    <t>had beef with family of student at school</t>
  </si>
  <si>
    <t>handmade AR-15-type rifle</t>
  </si>
  <si>
    <t>contructed from parts legally purchased by shooter</t>
  </si>
  <si>
    <t>Tehama County</t>
  </si>
  <si>
    <t>Aztec High School</t>
  </si>
  <si>
    <t>Aztec Municipal Schools</t>
  </si>
  <si>
    <t>Aztec</t>
  </si>
  <si>
    <t>9mm Glock</t>
  </si>
  <si>
    <t>San Juan County</t>
  </si>
  <si>
    <t>High Point Central High School</t>
  </si>
  <si>
    <t>Guilford County Schools</t>
  </si>
  <si>
    <t>High Point</t>
  </si>
  <si>
    <t>Guilford County</t>
  </si>
  <si>
    <t>The NET Charter High School</t>
  </si>
  <si>
    <t>Rsd-educators For Quality Alternatives</t>
  </si>
  <si>
    <t>Italy High School</t>
  </si>
  <si>
    <t>Italy ISD</t>
  </si>
  <si>
    <t>Italy</t>
  </si>
  <si>
    <t>semi-automatic .380 caliber handgun</t>
  </si>
  <si>
    <t>Marshall County High School</t>
  </si>
  <si>
    <t>Marshall County</t>
  </si>
  <si>
    <t>Benton</t>
  </si>
  <si>
    <t>stepfather's bedroom</t>
  </si>
  <si>
    <t>Murphy High School</t>
  </si>
  <si>
    <t>Salvador B. Castro Middle School</t>
  </si>
  <si>
    <t>semi-automatic handgun</t>
  </si>
  <si>
    <t>Marjory Stoneman Douglas High School</t>
  </si>
  <si>
    <t>Parkland</t>
  </si>
  <si>
    <t>Smith &amp; Wesson M&amp;P15</t>
  </si>
  <si>
    <t>Dalton High School</t>
  </si>
  <si>
    <t>Dalton City</t>
  </si>
  <si>
    <t>Dalton</t>
  </si>
  <si>
    <t>teacher</t>
  </si>
  <si>
    <t>.38-caliber snub-nosed revolver</t>
  </si>
  <si>
    <t>Whitfield County</t>
  </si>
  <si>
    <t>Seaside High School</t>
  </si>
  <si>
    <t>Monterey Peninsula Unified</t>
  </si>
  <si>
    <t>Seaside</t>
  </si>
  <si>
    <t>Glock 21 .45-caliber handgun</t>
  </si>
  <si>
    <t>Big Sky High School</t>
  </si>
  <si>
    <t>Missoula H S</t>
  </si>
  <si>
    <t>Missoula</t>
  </si>
  <si>
    <t>Montana</t>
  </si>
  <si>
    <t>Missoula County</t>
  </si>
  <si>
    <t>Douglass Park Elementary School</t>
  </si>
  <si>
    <t>Great Mills High School</t>
  </si>
  <si>
    <t>St. Mary's County Public Schools</t>
  </si>
  <si>
    <t>Great Mills</t>
  </si>
  <si>
    <t>Glock semi-automatic handgun</t>
  </si>
  <si>
    <t>St. Mary's County</t>
  </si>
  <si>
    <t>Eupora High School</t>
  </si>
  <si>
    <t>Webster Co School Dist</t>
  </si>
  <si>
    <t>Europa</t>
  </si>
  <si>
    <t>Webster County</t>
  </si>
  <si>
    <t>Jackson High School</t>
  </si>
  <si>
    <t>Jackson Public Schools</t>
  </si>
  <si>
    <t>Forest High School</t>
  </si>
  <si>
    <t>Marion</t>
  </si>
  <si>
    <t>Ocala</t>
  </si>
  <si>
    <t>Marion County</t>
  </si>
  <si>
    <t>Benjamin Elijah Mays High School</t>
  </si>
  <si>
    <t>Highland High School</t>
  </si>
  <si>
    <t>Albuquerque Public Schools</t>
  </si>
  <si>
    <t>Albuquerque</t>
  </si>
  <si>
    <t>owner's gun</t>
  </si>
  <si>
    <t>Bernalillo County</t>
  </si>
  <si>
    <t>Antelope Valley Union High</t>
  </si>
  <si>
    <t>Palmdale</t>
  </si>
  <si>
    <t>rifle</t>
  </si>
  <si>
    <t>Dixon High School</t>
  </si>
  <si>
    <t>Dixon USD 170</t>
  </si>
  <si>
    <t>Dixon</t>
  </si>
  <si>
    <t>Santa Fe High School</t>
  </si>
  <si>
    <t>Santa Fe ISD</t>
  </si>
  <si>
    <t>Santa Fe</t>
  </si>
  <si>
    <t>Remington 870 shotgun and a .38-caliber revolver</t>
  </si>
  <si>
    <t>Galveston County</t>
  </si>
  <si>
    <t>Noblesville West Middle School</t>
  </si>
  <si>
    <t>Noblesville Schools</t>
  </si>
  <si>
    <t>Noblesville</t>
  </si>
  <si>
    <t>.22 caliber gun, .45 caliber gun</t>
  </si>
  <si>
    <t>Villa Heights Elementary School</t>
  </si>
  <si>
    <t>2018-2019</t>
  </si>
  <si>
    <t>former boyfriend of student's mother</t>
  </si>
  <si>
    <t>.45 caliber pistol</t>
  </si>
  <si>
    <t>Canyon Springs High School</t>
  </si>
  <si>
    <t>Clark County School District</t>
  </si>
  <si>
    <t>North Las Vegas</t>
  </si>
  <si>
    <t>Clark County</t>
  </si>
  <si>
    <t>Lawrence Orr Elementary School</t>
  </si>
  <si>
    <t>Denali Montessori Elementary School</t>
  </si>
  <si>
    <t>Anchorage School District</t>
  </si>
  <si>
    <t>Anchorage</t>
  </si>
  <si>
    <t>Alaska</t>
  </si>
  <si>
    <t>boyfriend of parent</t>
  </si>
  <si>
    <t>Sig Sauer .40 caliber handgun</t>
  </si>
  <si>
    <t>Anchorage Municipality</t>
  </si>
  <si>
    <t>Battle Creek Academy</t>
  </si>
  <si>
    <t>Battle Creek</t>
  </si>
  <si>
    <t>Calhoun County</t>
  </si>
  <si>
    <t>Paul Laurence Dunbar School</t>
  </si>
  <si>
    <t>Bridgeport School District</t>
  </si>
  <si>
    <t>Bridgeport</t>
  </si>
  <si>
    <t>Butler High School</t>
  </si>
  <si>
    <t>Matthews</t>
  </si>
  <si>
    <t>.380 pistol</t>
  </si>
  <si>
    <t>Simonsdale Elementary School</t>
  </si>
  <si>
    <t>Dennis Intermediate School</t>
  </si>
  <si>
    <t>Richmond Community Schools</t>
  </si>
  <si>
    <t>Richmond</t>
  </si>
  <si>
    <t>handgun and a rifle</t>
  </si>
  <si>
    <t>Cascade Middle School</t>
  </si>
  <si>
    <t>Bethel Sd 52</t>
  </si>
  <si>
    <t>Eugene</t>
  </si>
  <si>
    <t>police shooting</t>
  </si>
  <si>
    <t>Lane County</t>
  </si>
  <si>
    <t>North High School</t>
  </si>
  <si>
    <t>Minneapolis Public School District</t>
  </si>
  <si>
    <t>Minneapolis</t>
  </si>
  <si>
    <t>Hennepin County</t>
  </si>
  <si>
    <t>Frederick Douglass High School</t>
  </si>
  <si>
    <t>Smith and Wesson .40 caliber gun</t>
  </si>
  <si>
    <t>V. Sue Cleveland High School</t>
  </si>
  <si>
    <t>Rio Rancho Public Schools</t>
  </si>
  <si>
    <t>Rio Rancho</t>
  </si>
  <si>
    <t>Sandoval County</t>
  </si>
  <si>
    <t>stolen from neighbor</t>
  </si>
  <si>
    <t>Highlands Elementary School</t>
  </si>
  <si>
    <t>Shawnee Mission Pub Sch</t>
  </si>
  <si>
    <t>Mission</t>
  </si>
  <si>
    <t>Kansas</t>
  </si>
  <si>
    <t>neighbor of school</t>
  </si>
  <si>
    <t>Johnson County</t>
  </si>
  <si>
    <t>Blountsville Elementary School</t>
  </si>
  <si>
    <t>Blount County</t>
  </si>
  <si>
    <t>Blountsville</t>
  </si>
  <si>
    <t>substitute teacher</t>
  </si>
  <si>
    <t>Taurus .380 pistol</t>
  </si>
  <si>
    <t>Prescott High School</t>
  </si>
  <si>
    <t>Prescott School District</t>
  </si>
  <si>
    <t>Prescott</t>
  </si>
  <si>
    <t>Nevada County</t>
  </si>
  <si>
    <t>New Joseph Bonnheim Community Charter School</t>
  </si>
  <si>
    <t>Sacramento City Unified</t>
  </si>
  <si>
    <t>Saint Clair Evans Academy</t>
  </si>
  <si>
    <t>Flex High School</t>
  </si>
  <si>
    <t>Flex High School Of Michigan</t>
  </si>
  <si>
    <t>Flint</t>
  </si>
  <si>
    <t>STEM School Highlands Ranch</t>
  </si>
  <si>
    <t>Douglas County School District NO. Re 1</t>
  </si>
  <si>
    <t>Highlands Ranch</t>
  </si>
  <si>
    <t>Glock 21 .45-caliber semi-automatic pistol, Beretta M9 9mm semi-automatic pistol, Taurus Revolver and a Ruger 10/22 .22-caliber semi-automatic rifle</t>
  </si>
  <si>
    <t>Menta Academy North</t>
  </si>
  <si>
    <t>Waukegan</t>
  </si>
  <si>
    <t>2 handguns</t>
  </si>
  <si>
    <t>Hendley Elementary School</t>
  </si>
  <si>
    <t>District Of Columbia Public Schools</t>
  </si>
  <si>
    <t>Blount Elementary School</t>
  </si>
  <si>
    <t>2019-2020</t>
  </si>
  <si>
    <t>Hollenbeck Middle School</t>
  </si>
  <si>
    <t>South Aiken High School</t>
  </si>
  <si>
    <t>Aiken 01</t>
  </si>
  <si>
    <t>Aiken</t>
  </si>
  <si>
    <t>Aiken County</t>
  </si>
  <si>
    <t>Aiton Elementary School</t>
  </si>
  <si>
    <t>Ridgway High School</t>
  </si>
  <si>
    <t>Santa Rosa High</t>
  </si>
  <si>
    <t>Santa Rosa</t>
  </si>
  <si>
    <t>Sonoma County</t>
  </si>
  <si>
    <t>Achievement Academy</t>
  </si>
  <si>
    <t>Esteban Torres High School</t>
  </si>
  <si>
    <t>sheriff's deputy</t>
  </si>
  <si>
    <t>Saugus High School</t>
  </si>
  <si>
    <t>William S. Hart Union High</t>
  </si>
  <si>
    <t>Saugus</t>
  </si>
  <si>
    <t>.45 caliber 1911 pistol</t>
  </si>
  <si>
    <t>ghost gun</t>
  </si>
  <si>
    <t>Waukesha South High School</t>
  </si>
  <si>
    <t>Waukesha School District</t>
  </si>
  <si>
    <t>Waukesha</t>
  </si>
  <si>
    <t>Waukesha County</t>
  </si>
  <si>
    <t>Oshkosh West High School</t>
  </si>
  <si>
    <t>Oshkosh Area School District</t>
  </si>
  <si>
    <t>Oshkosh</t>
  </si>
  <si>
    <t>Winnebago County</t>
  </si>
  <si>
    <t>Decatur High School</t>
  </si>
  <si>
    <t>Decatur City</t>
  </si>
  <si>
    <t>Sacred Heart School</t>
  </si>
  <si>
    <t>Catholic Academy of New Haven</t>
  </si>
  <si>
    <t>New Haven</t>
  </si>
  <si>
    <t>New Haven County</t>
  </si>
  <si>
    <t>Bellaire High School</t>
  </si>
  <si>
    <t>Bellaire</t>
  </si>
  <si>
    <t>.32 caliber semi-automatic pistol</t>
  </si>
  <si>
    <t>McAuliffe Elementary School</t>
  </si>
  <si>
    <t>West High School</t>
  </si>
  <si>
    <t>Salt Lake District</t>
  </si>
  <si>
    <t>Salt Lake City</t>
  </si>
  <si>
    <t>Antioch High School</t>
  </si>
  <si>
    <t>Antioch Unified</t>
  </si>
  <si>
    <t>Antioch</t>
  </si>
  <si>
    <t>Contra Costa County</t>
  </si>
  <si>
    <t>Cesar Chavez Community School</t>
  </si>
  <si>
    <t>A1592044</t>
  </si>
  <si>
    <t>Sagemont School</t>
  </si>
  <si>
    <t>2020-2021</t>
  </si>
  <si>
    <t>Lincoln Elementary School</t>
  </si>
  <si>
    <t>Brunswick County Schools</t>
  </si>
  <si>
    <t>Leland</t>
  </si>
  <si>
    <t>Brunswick County</t>
  </si>
  <si>
    <t>Hendersonville Middle School</t>
  </si>
  <si>
    <t>Henderson County Schools</t>
  </si>
  <si>
    <t>Hendersonville</t>
  </si>
  <si>
    <t>Handerson County</t>
  </si>
  <si>
    <t>Watson Chapel Junior High</t>
  </si>
  <si>
    <t>Watson Chapel School District</t>
  </si>
  <si>
    <t>Pine Bluff</t>
  </si>
  <si>
    <t>Wayne Central Middle School</t>
  </si>
  <si>
    <t>Wayne Central School District</t>
  </si>
  <si>
    <t>Ontario</t>
  </si>
  <si>
    <t>employee</t>
  </si>
  <si>
    <t>Smith and Wesson M&amp;P .45 caliber handgun</t>
  </si>
  <si>
    <t>SRO</t>
  </si>
  <si>
    <t>Achievement First Amistad High School</t>
  </si>
  <si>
    <t>Edwards Elementary School</t>
  </si>
  <si>
    <t>Chesterfield 01</t>
  </si>
  <si>
    <t>Chesterfield</t>
  </si>
  <si>
    <t>Chesterfield County</t>
  </si>
  <si>
    <t>Bishop Hartley High School</t>
  </si>
  <si>
    <t>Selma High School</t>
  </si>
  <si>
    <t>Selma City Schools</t>
  </si>
  <si>
    <t>Selma</t>
  </si>
  <si>
    <t>Austin-East Magnet High</t>
  </si>
  <si>
    <t>Glock 45 handgun</t>
  </si>
  <si>
    <t>Ply_mouth Middle School</t>
  </si>
  <si>
    <t>Robbinsdale Area Schools</t>
  </si>
  <si>
    <t>Ply_mouth</t>
  </si>
  <si>
    <t>father's bedroom</t>
  </si>
  <si>
    <t>Smyrna Middle School</t>
  </si>
  <si>
    <t>Smyrna School District</t>
  </si>
  <si>
    <t>Smyrna</t>
  </si>
  <si>
    <t>Delaware</t>
  </si>
  <si>
    <t>Kent County</t>
  </si>
  <si>
    <t>Urban Dove Team Charter School</t>
  </si>
  <si>
    <t>Brooklyn</t>
  </si>
  <si>
    <t>Kings County</t>
  </si>
  <si>
    <t>Mary Evelyn Castle Elementary School</t>
  </si>
  <si>
    <t>Metropolitan School District of Lawrence Township</t>
  </si>
  <si>
    <t>Indianapolis</t>
  </si>
  <si>
    <t>Ware Shoals High School</t>
  </si>
  <si>
    <t>Greenwood 51</t>
  </si>
  <si>
    <t>Ware Shoals</t>
  </si>
  <si>
    <t>mom's gun; kept in her car</t>
  </si>
  <si>
    <t>Greenwood County</t>
  </si>
  <si>
    <t>Rigby Middle School</t>
  </si>
  <si>
    <t>Jefferson County Joint District</t>
  </si>
  <si>
    <t>Rigby</t>
  </si>
  <si>
    <t>Idaho</t>
  </si>
  <si>
    <t>Houston Isd</t>
  </si>
  <si>
    <t>Saint Francis de Sales School</t>
  </si>
  <si>
    <t>2021-2022</t>
  </si>
  <si>
    <t>Houma</t>
  </si>
  <si>
    <t>Terrebonne County</t>
  </si>
  <si>
    <t>Lithonia High School</t>
  </si>
  <si>
    <t>Lithonia</t>
  </si>
  <si>
    <t>Washington Middle School</t>
  </si>
  <si>
    <t>Orangeburg-Wilkinson High School</t>
  </si>
  <si>
    <t>Orangeburg</t>
  </si>
  <si>
    <t>Orangeburg County</t>
  </si>
  <si>
    <t>New Hanover High School</t>
  </si>
  <si>
    <t>New Hanover County Schools</t>
  </si>
  <si>
    <t>Wilmington</t>
  </si>
  <si>
    <t>New Hanover County</t>
  </si>
  <si>
    <t>Mount Tabor High School</t>
  </si>
  <si>
    <t>Winston Salem / Forsyth County Schools</t>
  </si>
  <si>
    <t>LaVergne High School</t>
  </si>
  <si>
    <t>Rutherford County</t>
  </si>
  <si>
    <t>Lavergne</t>
  </si>
  <si>
    <t>Tri-County Education Center</t>
  </si>
  <si>
    <t>Ferndale Public Schools</t>
  </si>
  <si>
    <t>Ferndale</t>
  </si>
  <si>
    <t>Oakland County</t>
  </si>
  <si>
    <t>Newport News City Pblc Schs</t>
  </si>
  <si>
    <t>Newport News</t>
  </si>
  <si>
    <t>Newport News City</t>
  </si>
  <si>
    <t>Newton County Elementary School</t>
  </si>
  <si>
    <t>Newton County School District</t>
  </si>
  <si>
    <t>boyfriend of child's mother</t>
  </si>
  <si>
    <t>Newton County</t>
  </si>
  <si>
    <t>Cummings K-8 Optional School</t>
  </si>
  <si>
    <t>YES Prep Southwest Secondary</t>
  </si>
  <si>
    <t>Yes Prep Public Schools Inc</t>
  </si>
  <si>
    <t>Timberview High School</t>
  </si>
  <si>
    <t>Mansfield Isd</t>
  </si>
  <si>
    <t>Arlington</t>
  </si>
  <si>
    <t>Little Rock Central High School</t>
  </si>
  <si>
    <t>Little Rock School District</t>
  </si>
  <si>
    <t>Little Rock</t>
  </si>
  <si>
    <t>Pulaski County</t>
  </si>
  <si>
    <t>Wendell Phillips Academy High School</t>
  </si>
  <si>
    <t>James McDade Classical School</t>
  </si>
  <si>
    <t>Cathedral School</t>
  </si>
  <si>
    <t>Natchez</t>
  </si>
  <si>
    <t>Poughkeepsie High School</t>
  </si>
  <si>
    <t>Poughkeepsie City School District</t>
  </si>
  <si>
    <t>Poughkeepsie</t>
  </si>
  <si>
    <t>Dutchess County</t>
  </si>
  <si>
    <t>P.S. 44</t>
  </si>
  <si>
    <t>New York City Geographic District #12</t>
  </si>
  <si>
    <t>Bronx</t>
  </si>
  <si>
    <t>Bronx County</t>
  </si>
  <si>
    <t>Hinkley High School</t>
  </si>
  <si>
    <t>Aurora Joint District NO. 28 Of The Counties Of Adams And Arapahoe</t>
  </si>
  <si>
    <t>Aurora</t>
  </si>
  <si>
    <t>Thornton Township High School</t>
  </si>
  <si>
    <t>Thornton Twp Hsd 205</t>
  </si>
  <si>
    <t>Harvey</t>
  </si>
  <si>
    <t>Cesar Chavez High School</t>
  </si>
  <si>
    <t>Phoenix Union High School District (4286)</t>
  </si>
  <si>
    <t>Laveen</t>
  </si>
  <si>
    <t>Oxford High School</t>
  </si>
  <si>
    <t>Oxford Community Schools</t>
  </si>
  <si>
    <t>Oxford</t>
  </si>
  <si>
    <t>Sam Rayburn High School</t>
  </si>
  <si>
    <t>Pasadena Isd</t>
  </si>
  <si>
    <t>Pasadena</t>
  </si>
  <si>
    <t>Great Oaks Charter School</t>
  </si>
  <si>
    <t>Jesse C. Carson High School</t>
  </si>
  <si>
    <t>Rowan-salisbury Schools</t>
  </si>
  <si>
    <t>China Grove</t>
  </si>
  <si>
    <t>West Charlotte High School</t>
  </si>
  <si>
    <t>Charlotte-mecklenburg Schools</t>
  </si>
  <si>
    <t>Eau Claire High School</t>
  </si>
  <si>
    <t>Richland 01</t>
  </si>
  <si>
    <t>Columbia</t>
  </si>
  <si>
    <t>Richland County</t>
  </si>
  <si>
    <t>Auburn High School</t>
  </si>
  <si>
    <t>Rockford Sd 205</t>
  </si>
  <si>
    <t>Seminole High School</t>
  </si>
  <si>
    <t>Seminole</t>
  </si>
  <si>
    <t>Sanford</t>
  </si>
  <si>
    <t>Oliver Citywide Academy</t>
  </si>
  <si>
    <t>Pittsburgh Sd</t>
  </si>
  <si>
    <t>Magruder High School</t>
  </si>
  <si>
    <t>Montgomery County Public Schools</t>
  </si>
  <si>
    <t>Rockville</t>
  </si>
  <si>
    <t>South Education Center</t>
  </si>
  <si>
    <t>Intermediate School District 287</t>
  </si>
  <si>
    <t>Richfield</t>
  </si>
  <si>
    <t>Mount Vernon High School</t>
  </si>
  <si>
    <t>Mount Vernon City School District</t>
  </si>
  <si>
    <t>Mount Vernon</t>
  </si>
  <si>
    <t>Westchester County</t>
  </si>
  <si>
    <t>Liberty Point International School</t>
  </si>
  <si>
    <t>Pueblo County School District 70</t>
  </si>
  <si>
    <t>Pueblo West</t>
  </si>
  <si>
    <t>service weapon</t>
  </si>
  <si>
    <t>Pueblo County</t>
  </si>
  <si>
    <t>Jonesboro High School</t>
  </si>
  <si>
    <t>Clayton County School District</t>
  </si>
  <si>
    <t>Clayton County</t>
  </si>
  <si>
    <t>Loaded handgun</t>
  </si>
  <si>
    <t>Olathe East High School</t>
  </si>
  <si>
    <t>Olathe School District</t>
  </si>
  <si>
    <t>Olathe</t>
  </si>
  <si>
    <t>East High School</t>
  </si>
  <si>
    <t>Des Moines Public Schools</t>
  </si>
  <si>
    <t>Des Moines</t>
  </si>
  <si>
    <t>Iowa</t>
  </si>
  <si>
    <t>Polk County</t>
  </si>
  <si>
    <t>North Gardens High School</t>
  </si>
  <si>
    <t>Miami-Dade School District</t>
  </si>
  <si>
    <t>Miami Gardens</t>
  </si>
  <si>
    <t>Glock</t>
  </si>
  <si>
    <t>De Anza High School</t>
  </si>
  <si>
    <t>West Contra Costa Unified</t>
  </si>
  <si>
    <t>Eisenhower High School</t>
  </si>
  <si>
    <t>Yakima School District</t>
  </si>
  <si>
    <t>Yakima</t>
  </si>
  <si>
    <t>Yakima County</t>
  </si>
  <si>
    <t>Mott-Regent School</t>
  </si>
  <si>
    <t>Mott-regent 1</t>
  </si>
  <si>
    <t>Hettinger County</t>
  </si>
  <si>
    <t>North Dakota</t>
  </si>
  <si>
    <t>service pistol</t>
  </si>
  <si>
    <t>Rippon Middle School</t>
  </si>
  <si>
    <t>Prince William Co Pblc Schs</t>
  </si>
  <si>
    <t>Woodbridge</t>
  </si>
  <si>
    <t>rifle and shotgun</t>
  </si>
  <si>
    <t>Prince William County</t>
  </si>
  <si>
    <t>Western High School</t>
  </si>
  <si>
    <t>Las Vegas</t>
  </si>
  <si>
    <t>school police officer</t>
  </si>
  <si>
    <t>West Philadelphia Achievement Charter Elementary School</t>
  </si>
  <si>
    <t>Philadelphia Public School Dis</t>
  </si>
  <si>
    <t>Neshoba County</t>
  </si>
  <si>
    <t>Tanglewood Middle</t>
  </si>
  <si>
    <t>Greenville County School District</t>
  </si>
  <si>
    <t>Greenville County</t>
  </si>
  <si>
    <t>Lowellville Junior/Senior High School</t>
  </si>
  <si>
    <t>Lowellville Local</t>
  </si>
  <si>
    <t>Lowellville</t>
  </si>
  <si>
    <t>Mahoning County</t>
  </si>
  <si>
    <t>Erie High School</t>
  </si>
  <si>
    <t>Erie City Shool District</t>
  </si>
  <si>
    <t>Erie</t>
  </si>
  <si>
    <t>Erie County</t>
  </si>
  <si>
    <t>Pine Bluff High School</t>
  </si>
  <si>
    <t>Pine Bluff School District</t>
  </si>
  <si>
    <t>Edmund Burke School</t>
  </si>
  <si>
    <t>sniper rifle</t>
  </si>
  <si>
    <t>Aspen Ridge Elementary School</t>
  </si>
  <si>
    <t>Nice Community School District</t>
  </si>
  <si>
    <t>West Ishpeming</t>
  </si>
  <si>
    <t>Marquette County</t>
  </si>
  <si>
    <t>Heights High School</t>
  </si>
  <si>
    <t>The Houston Independent School District</t>
  </si>
  <si>
    <t>AK pistol</t>
  </si>
  <si>
    <t>Alexander W. Dreyfoos School of Arts</t>
  </si>
  <si>
    <t>West Palm Beach</t>
  </si>
  <si>
    <t>off-duty police officer</t>
  </si>
  <si>
    <t>Walt Disney Magnet School</t>
  </si>
  <si>
    <t>Mexia High School</t>
  </si>
  <si>
    <t>Mexia Independent School District</t>
  </si>
  <si>
    <t>Mexia</t>
  </si>
  <si>
    <t>Limestone County</t>
  </si>
  <si>
    <t>Robb Elementary School</t>
  </si>
  <si>
    <t>Uvalde CISD</t>
  </si>
  <si>
    <t>Uvalde</t>
  </si>
  <si>
    <t>Uvalde County</t>
  </si>
  <si>
    <t>Ulysses S. Grant High School</t>
  </si>
  <si>
    <t>Los Angeles Unified School District</t>
  </si>
  <si>
    <t>Walnut Park Elementary</t>
  </si>
  <si>
    <t>Gadsden City</t>
  </si>
  <si>
    <t>2022-2023</t>
  </si>
  <si>
    <t>Gadsden</t>
  </si>
  <si>
    <t>Etowah County</t>
  </si>
  <si>
    <t>John Finney High School</t>
  </si>
  <si>
    <t>Vallejo City Unified District</t>
  </si>
  <si>
    <t>Vallejo</t>
  </si>
  <si>
    <t>Hispanic</t>
  </si>
  <si>
    <t>Madison Park Academy</t>
  </si>
  <si>
    <t>Oakland Unified School District</t>
  </si>
  <si>
    <t>Mergenthaler Vocational Technical High School</t>
  </si>
  <si>
    <t>Baltimore City Public Schools District</t>
  </si>
  <si>
    <t>Treasure Cost Classical Academy</t>
  </si>
  <si>
    <t>Martin District</t>
  </si>
  <si>
    <t>Stuart</t>
  </si>
  <si>
    <t>school resource deputy</t>
  </si>
  <si>
    <t>Martin County</t>
  </si>
  <si>
    <t>Mankato West High School</t>
  </si>
  <si>
    <t>Mankoto Public School District</t>
  </si>
  <si>
    <t>Mankoto</t>
  </si>
  <si>
    <t>Blue Earth County</t>
  </si>
  <si>
    <t>Rudsdale High School</t>
  </si>
  <si>
    <t>Jeremiah E. Burke High School</t>
  </si>
  <si>
    <t>Boston Public Schools Library and Media Services</t>
  </si>
  <si>
    <t>Dorchester</t>
  </si>
  <si>
    <t>James Madison Academic Campus</t>
  </si>
  <si>
    <t>Milwaukee Public Schools</t>
  </si>
  <si>
    <t>Central Visual and Performing Arts High School</t>
  </si>
  <si>
    <t>St. Louis City</t>
  </si>
  <si>
    <t>St. Louis</t>
  </si>
  <si>
    <t>Ingraham High School</t>
  </si>
  <si>
    <t>Seattle School District No. 1</t>
  </si>
  <si>
    <t>Seattle</t>
  </si>
  <si>
    <t>Ball Elementary School</t>
  </si>
  <si>
    <t>Ball Chatham Cusd 5</t>
  </si>
  <si>
    <t>Ball</t>
  </si>
  <si>
    <t>Sangamon County</t>
  </si>
  <si>
    <t>South Vermillion High School</t>
  </si>
  <si>
    <t>South Vermillion Com Sch Corp</t>
  </si>
  <si>
    <t>Clinton</t>
  </si>
  <si>
    <t>sheriff deputy</t>
  </si>
  <si>
    <t>Vermillion County</t>
  </si>
  <si>
    <t>Freedom Preparatory High School</t>
  </si>
  <si>
    <t>Suitland High School</t>
  </si>
  <si>
    <t>Forestville</t>
  </si>
  <si>
    <t>Fuquay-Varina Middle School</t>
  </si>
  <si>
    <t>Wake County Schools</t>
  </si>
  <si>
    <t>Fuquay-Varina</t>
  </si>
  <si>
    <t>Wake County</t>
  </si>
  <si>
    <t>Cleveland High School</t>
  </si>
  <si>
    <t>Portland County Schools</t>
  </si>
  <si>
    <t>Portland</t>
  </si>
  <si>
    <t>Rochester City School District</t>
  </si>
  <si>
    <t>Rochester</t>
  </si>
  <si>
    <t>Monroe County</t>
  </si>
  <si>
    <t>Beechcroft High School</t>
  </si>
  <si>
    <t>Richneck Elementary School</t>
  </si>
  <si>
    <t>Newport News City of Public Schools</t>
  </si>
  <si>
    <t>William Penn High School</t>
  </si>
  <si>
    <t>Colonial School District</t>
  </si>
  <si>
    <t>New Castle</t>
  </si>
  <si>
    <t>New Castle County</t>
  </si>
  <si>
    <t>Kipp Booker T Washington</t>
  </si>
  <si>
    <t>BB081130</t>
  </si>
  <si>
    <t>Plaza Academy</t>
  </si>
  <si>
    <t>Kansas City</t>
  </si>
  <si>
    <t>Taylorsville High School</t>
  </si>
  <si>
    <t>Granite District</t>
  </si>
  <si>
    <t>Taylorsville</t>
  </si>
  <si>
    <t>Gila Ridge High School</t>
  </si>
  <si>
    <t>Yuma Union High School District</t>
  </si>
  <si>
    <t>Yuma</t>
  </si>
  <si>
    <t>Yuma County</t>
  </si>
  <si>
    <t>Geary Elementary School</t>
  </si>
  <si>
    <t>Geary</t>
  </si>
  <si>
    <t>Blaine County</t>
  </si>
  <si>
    <t>Ridgeview Jr. High School</t>
  </si>
  <si>
    <t>Ridgeview Cusd 19</t>
  </si>
  <si>
    <t>Pickerington</t>
  </si>
  <si>
    <t>PS 78</t>
  </si>
  <si>
    <t>New York City Geographic District #31</t>
  </si>
  <si>
    <t>Staten Island</t>
  </si>
  <si>
    <t>Dalhart ISD schools</t>
  </si>
  <si>
    <t>Dalhart ISD</t>
  </si>
  <si>
    <t>Dalhart</t>
  </si>
  <si>
    <t>Hartley County</t>
  </si>
  <si>
    <t>Westinghouse Academy</t>
  </si>
  <si>
    <t>Palo Duro High School</t>
  </si>
  <si>
    <t>Amarillo Isd</t>
  </si>
  <si>
    <t>Amarillo</t>
  </si>
  <si>
    <t>Potter County</t>
  </si>
  <si>
    <t>Lamar High School</t>
  </si>
  <si>
    <t>Arlington Isd</t>
  </si>
  <si>
    <t>Anniston High School</t>
  </si>
  <si>
    <t>Anniston City</t>
  </si>
  <si>
    <t>Anniston</t>
  </si>
  <si>
    <t>School District NO. 1 In The County Of Denver And State Of Colorado</t>
  </si>
  <si>
    <t>Denver</t>
  </si>
  <si>
    <t>Denver County</t>
  </si>
  <si>
    <t>Northridge Middle School</t>
  </si>
  <si>
    <t>Middlebury Community Schools</t>
  </si>
  <si>
    <t>Middlebury</t>
  </si>
  <si>
    <t>staff member</t>
  </si>
  <si>
    <t>Elkhart County</t>
  </si>
  <si>
    <t>A0503352</t>
  </si>
  <si>
    <t>The Covenant School</t>
  </si>
  <si>
    <t>George Wythe High School</t>
  </si>
  <si>
    <t>Richmond City Pblc Schs</t>
  </si>
  <si>
    <t>Richmond City</t>
  </si>
  <si>
    <t>International Academy of Flint K12</t>
  </si>
  <si>
    <t>International Academy of Flint</t>
  </si>
  <si>
    <t>Von Tobel Ed MS</t>
  </si>
  <si>
    <t>E. Washington Rhodes Elementary School</t>
  </si>
  <si>
    <t>Philadelphia City Sd</t>
  </si>
  <si>
    <t>District Of Columbia</t>
  </si>
  <si>
    <t>St. John's Prep</t>
  </si>
  <si>
    <t>Danvers</t>
  </si>
  <si>
    <t>Essex County</t>
  </si>
  <si>
    <t>Michigan Collegiate High School</t>
  </si>
  <si>
    <t>Conner Creek Academy East</t>
  </si>
  <si>
    <t>Warren</t>
  </si>
  <si>
    <t>associate of student</t>
  </si>
  <si>
    <t>Macomb County</t>
  </si>
  <si>
    <t>High School</t>
  </si>
  <si>
    <t>Middle School</t>
  </si>
  <si>
    <t>state_population</t>
  </si>
  <si>
    <t>Other</t>
  </si>
  <si>
    <t>school_level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</si>
</sst>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18" fontId="0" fillId="0" borderId="0" xfId="0" applyNumberFormat="1"/>
    <xf numFmtId="11" fontId="0" fillId="0" borderId="0" xfId="0" applyNumberFormat="1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388"/>
  <sheetViews>
    <sheetView tabSelected="1" topLeftCell="G1" workbookViewId="0">
      <pane ySplit="1" topLeftCell="A2" activePane="bottomLeft" state="frozen"/>
      <selection pane="bottomLeft" activeCell="BD16" sqref="BD16"/>
    </sheetView>
  </sheetViews>
  <sheetFormatPr defaultRowHeight="14.4" x14ac:dyDescent="0.3"/>
  <cols>
    <col min="1" max="1" width="5.6640625" bestFit="1" customWidth="1"/>
    <col min="2" max="2" width="15.77734375" bestFit="1" customWidth="1"/>
    <col min="3" max="3" width="49.5546875" bestFit="1" customWidth="1"/>
    <col min="4" max="4" width="16.21875" bestFit="1" customWidth="1"/>
    <col min="5" max="5" width="16" customWidth="1"/>
    <col min="6" max="6" width="58.109375" customWidth="1"/>
    <col min="7" max="7" width="10.5546875" customWidth="1"/>
    <col min="8" max="8" width="13.109375" customWidth="1"/>
    <col min="9" max="9" width="6.77734375" customWidth="1"/>
    <col min="10" max="10" width="8.77734375" customWidth="1"/>
    <col min="11" max="11" width="14.21875" customWidth="1"/>
    <col min="12" max="12" width="20.6640625" customWidth="1"/>
    <col min="13" max="14" width="17.33203125" customWidth="1"/>
    <col min="15" max="15" width="13.109375" customWidth="1"/>
    <col min="16" max="16" width="12.109375" customWidth="1"/>
    <col min="17" max="17" width="7.44140625" customWidth="1"/>
    <col min="18" max="18" width="8.77734375" customWidth="1"/>
    <col min="19" max="19" width="11.21875" customWidth="1"/>
    <col min="20" max="20" width="23.44140625" customWidth="1"/>
    <col min="21" max="21" width="14.44140625" customWidth="1"/>
    <col min="22" max="22" width="17.21875" customWidth="1"/>
    <col min="23" max="23" width="23.33203125" customWidth="1"/>
    <col min="24" max="24" width="48.77734375" customWidth="1"/>
    <col min="25" max="25" width="19.44140625" customWidth="1"/>
    <col min="26" max="26" width="17.5546875" customWidth="1"/>
    <col min="27" max="27" width="14.44140625" customWidth="1"/>
    <col min="28" max="28" width="17.21875" customWidth="1"/>
    <col min="29" max="29" width="23.33203125" customWidth="1"/>
    <col min="30" max="30" width="21.33203125" customWidth="1"/>
    <col min="31" max="31" width="19.44140625" customWidth="1"/>
    <col min="32" max="32" width="17.5546875" customWidth="1"/>
    <col min="33" max="33" width="7.77734375" customWidth="1"/>
    <col min="34" max="34" width="7.44140625" customWidth="1"/>
    <col min="35" max="35" width="9.77734375" customWidth="1"/>
    <col min="36" max="36" width="7.44140625" customWidth="1"/>
    <col min="37" max="37" width="29.21875" customWidth="1"/>
    <col min="38" max="38" width="30.6640625" customWidth="1"/>
    <col min="39" max="39" width="14.5546875" customWidth="1"/>
    <col min="40" max="40" width="16.88671875" customWidth="1"/>
    <col min="41" max="41" width="167.6640625" customWidth="1"/>
    <col min="42" max="42" width="53.44140625" customWidth="1"/>
    <col min="43" max="43" width="12" customWidth="1"/>
    <col min="44" max="44" width="12.6640625" customWidth="1"/>
    <col min="45" max="45" width="9.33203125" customWidth="1"/>
    <col min="46" max="46" width="11.77734375" bestFit="1" customWidth="1"/>
    <col min="47" max="47" width="12.109375" bestFit="1" customWidth="1"/>
    <col min="48" max="48" width="7.5546875" bestFit="1" customWidth="1"/>
    <col min="49" max="49" width="20.88671875" bestFit="1" customWidth="1"/>
    <col min="50" max="50" width="11.21875" bestFit="1" customWidth="1"/>
    <col min="51" max="51" width="12.6640625" bestFit="1" customWidth="1"/>
    <col min="52" max="52" width="9.109375" bestFit="1" customWidth="1"/>
  </cols>
  <sheetData>
    <row r="1" spans="1:52" x14ac:dyDescent="0.3">
      <c r="A1" t="s">
        <v>0</v>
      </c>
      <c r="B1" t="s">
        <v>1</v>
      </c>
      <c r="C1" t="s">
        <v>2</v>
      </c>
      <c r="D1" t="s">
        <v>1543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1541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</row>
    <row r="2" spans="1:52" x14ac:dyDescent="0.3">
      <c r="A2">
        <v>1</v>
      </c>
      <c r="B2">
        <v>80480000707</v>
      </c>
      <c r="C2" t="s">
        <v>50</v>
      </c>
      <c r="D2" t="str">
        <f>IF(ISNUMBER(SEARCH("High",C2)), "High School","")</f>
        <v>High School</v>
      </c>
      <c r="E2">
        <v>804800</v>
      </c>
      <c r="F2" t="s">
        <v>51</v>
      </c>
      <c r="G2" s="1">
        <v>36270</v>
      </c>
      <c r="H2" t="s">
        <v>52</v>
      </c>
      <c r="I2">
        <v>1999</v>
      </c>
      <c r="J2" s="2">
        <v>0.47152777777777777</v>
      </c>
      <c r="K2" t="s">
        <v>53</v>
      </c>
      <c r="L2" t="s">
        <v>54</v>
      </c>
      <c r="M2" t="s">
        <v>55</v>
      </c>
      <c r="N2" s="4">
        <v>5812069</v>
      </c>
      <c r="O2" t="s">
        <v>56</v>
      </c>
      <c r="P2">
        <v>1965</v>
      </c>
      <c r="Q2">
        <v>13</v>
      </c>
      <c r="R2">
        <v>21</v>
      </c>
      <c r="S2">
        <v>34</v>
      </c>
      <c r="T2" t="s">
        <v>57</v>
      </c>
      <c r="U2">
        <v>18</v>
      </c>
      <c r="V2" t="s">
        <v>58</v>
      </c>
      <c r="W2" t="s">
        <v>59</v>
      </c>
      <c r="X2" t="s">
        <v>60</v>
      </c>
      <c r="Y2">
        <v>1</v>
      </c>
      <c r="Z2" t="s">
        <v>61</v>
      </c>
      <c r="AA2">
        <v>17</v>
      </c>
      <c r="AB2" t="s">
        <v>58</v>
      </c>
      <c r="AC2" t="s">
        <v>59</v>
      </c>
      <c r="AD2" t="s">
        <v>60</v>
      </c>
      <c r="AE2">
        <v>1</v>
      </c>
      <c r="AF2" t="s">
        <v>61</v>
      </c>
      <c r="AG2">
        <v>1783</v>
      </c>
      <c r="AH2">
        <v>16</v>
      </c>
      <c r="AI2">
        <v>112</v>
      </c>
      <c r="AJ2">
        <v>42</v>
      </c>
      <c r="AK2">
        <v>12</v>
      </c>
      <c r="AN2">
        <v>1</v>
      </c>
      <c r="AO2" t="s">
        <v>62</v>
      </c>
      <c r="AP2" t="s">
        <v>63</v>
      </c>
      <c r="AQ2">
        <v>39.603909999999999</v>
      </c>
      <c r="AR2">
        <v>-105.075</v>
      </c>
      <c r="AS2">
        <v>89.6</v>
      </c>
      <c r="AT2">
        <v>9</v>
      </c>
      <c r="AU2">
        <v>12</v>
      </c>
      <c r="AV2">
        <v>41</v>
      </c>
      <c r="AW2" t="s">
        <v>64</v>
      </c>
      <c r="AX2">
        <v>8</v>
      </c>
      <c r="AY2">
        <v>8059</v>
      </c>
      <c r="AZ2">
        <v>21</v>
      </c>
    </row>
    <row r="3" spans="1:52" x14ac:dyDescent="0.3">
      <c r="A3">
        <v>209</v>
      </c>
      <c r="B3" s="3">
        <v>120018000000</v>
      </c>
      <c r="C3" t="s">
        <v>1009</v>
      </c>
      <c r="D3" t="str">
        <f>IF(ISNUMBER(SEARCH("High",C3)), "High School","")</f>
        <v>High School</v>
      </c>
      <c r="E3">
        <v>1200180</v>
      </c>
      <c r="F3" t="s">
        <v>570</v>
      </c>
      <c r="G3" s="1">
        <v>43145</v>
      </c>
      <c r="H3" t="s">
        <v>965</v>
      </c>
      <c r="I3">
        <v>2018</v>
      </c>
      <c r="J3" s="2">
        <v>0.59791666666666665</v>
      </c>
      <c r="K3" t="s">
        <v>90</v>
      </c>
      <c r="L3" t="s">
        <v>1010</v>
      </c>
      <c r="M3" t="s">
        <v>113</v>
      </c>
      <c r="N3" s="4">
        <v>21781128</v>
      </c>
      <c r="O3" t="s">
        <v>56</v>
      </c>
      <c r="P3">
        <v>3158</v>
      </c>
      <c r="Q3">
        <v>17</v>
      </c>
      <c r="R3">
        <v>17</v>
      </c>
      <c r="S3">
        <v>34</v>
      </c>
      <c r="T3" t="s">
        <v>57</v>
      </c>
      <c r="U3">
        <v>19</v>
      </c>
      <c r="V3" t="s">
        <v>58</v>
      </c>
      <c r="W3" t="s">
        <v>59</v>
      </c>
      <c r="X3" t="s">
        <v>71</v>
      </c>
      <c r="Y3">
        <v>0</v>
      </c>
      <c r="AG3">
        <v>1871</v>
      </c>
      <c r="AH3">
        <v>364</v>
      </c>
      <c r="AI3">
        <v>623</v>
      </c>
      <c r="AJ3">
        <v>210</v>
      </c>
      <c r="AK3">
        <v>17</v>
      </c>
      <c r="AL3">
        <v>2</v>
      </c>
      <c r="AM3">
        <v>71</v>
      </c>
      <c r="AN3">
        <v>1</v>
      </c>
      <c r="AO3" t="s">
        <v>1011</v>
      </c>
      <c r="AP3" t="s">
        <v>155</v>
      </c>
      <c r="AQ3">
        <v>26.304483000000001</v>
      </c>
      <c r="AR3">
        <v>-80.269364999999993</v>
      </c>
      <c r="AS3">
        <v>129</v>
      </c>
      <c r="AT3">
        <v>9</v>
      </c>
      <c r="AU3">
        <v>12</v>
      </c>
      <c r="AV3">
        <v>710</v>
      </c>
      <c r="AW3" t="s">
        <v>574</v>
      </c>
      <c r="AX3">
        <v>12</v>
      </c>
      <c r="AY3">
        <v>12011</v>
      </c>
      <c r="AZ3">
        <v>21</v>
      </c>
    </row>
    <row r="4" spans="1:52" x14ac:dyDescent="0.3">
      <c r="A4">
        <v>327</v>
      </c>
      <c r="B4" s="3">
        <v>484372000000</v>
      </c>
      <c r="C4" t="s">
        <v>1409</v>
      </c>
      <c r="D4" t="str">
        <f>IF(ISNUMBER(SEARCH("Elementary",C4)), "Elementary School","")</f>
        <v>Elementary School</v>
      </c>
      <c r="E4">
        <v>4843720</v>
      </c>
      <c r="F4" t="s">
        <v>1410</v>
      </c>
      <c r="G4" s="1">
        <v>44705</v>
      </c>
      <c r="H4" t="s">
        <v>1243</v>
      </c>
      <c r="I4">
        <v>2022</v>
      </c>
      <c r="J4" s="2">
        <v>0.48125000000000001</v>
      </c>
      <c r="K4" t="s">
        <v>53</v>
      </c>
      <c r="L4" t="s">
        <v>1411</v>
      </c>
      <c r="M4" t="s">
        <v>205</v>
      </c>
      <c r="N4" s="4">
        <v>29527941</v>
      </c>
      <c r="O4" t="s">
        <v>56</v>
      </c>
      <c r="P4">
        <v>538</v>
      </c>
      <c r="Q4">
        <v>21</v>
      </c>
      <c r="R4">
        <v>12</v>
      </c>
      <c r="S4">
        <v>33</v>
      </c>
      <c r="T4" t="s">
        <v>57</v>
      </c>
      <c r="U4">
        <v>18</v>
      </c>
      <c r="V4" t="s">
        <v>58</v>
      </c>
      <c r="W4" t="s">
        <v>99</v>
      </c>
      <c r="AG4">
        <v>47</v>
      </c>
      <c r="AH4">
        <v>6</v>
      </c>
      <c r="AI4">
        <v>516</v>
      </c>
      <c r="AJ4">
        <v>0</v>
      </c>
      <c r="AK4">
        <v>0</v>
      </c>
      <c r="AL4">
        <v>0</v>
      </c>
      <c r="AM4">
        <v>2</v>
      </c>
      <c r="AN4">
        <v>0</v>
      </c>
      <c r="AQ4">
        <v>29.199304000000001</v>
      </c>
      <c r="AR4">
        <v>-99.788120000000006</v>
      </c>
      <c r="AS4">
        <v>34.53</v>
      </c>
      <c r="AT4">
        <v>3</v>
      </c>
      <c r="AU4">
        <v>4</v>
      </c>
      <c r="AV4">
        <v>438</v>
      </c>
      <c r="AW4" t="s">
        <v>1412</v>
      </c>
      <c r="AX4">
        <v>48</v>
      </c>
      <c r="AY4">
        <v>48463</v>
      </c>
      <c r="AZ4">
        <v>33</v>
      </c>
    </row>
    <row r="5" spans="1:52" x14ac:dyDescent="0.3">
      <c r="A5">
        <v>140</v>
      </c>
      <c r="B5">
        <v>90291000617</v>
      </c>
      <c r="C5" t="s">
        <v>720</v>
      </c>
      <c r="D5" t="str">
        <f>IF(ISNUMBER(SEARCH("Elementary",C5)), "Elementary School","")</f>
        <v>Elementary School</v>
      </c>
      <c r="E5">
        <v>902910</v>
      </c>
      <c r="F5" t="s">
        <v>721</v>
      </c>
      <c r="G5" s="1">
        <v>41257</v>
      </c>
      <c r="H5" t="s">
        <v>713</v>
      </c>
      <c r="I5">
        <v>2012</v>
      </c>
      <c r="J5" s="2">
        <v>0.39930555555555558</v>
      </c>
      <c r="K5" t="s">
        <v>95</v>
      </c>
      <c r="L5" t="s">
        <v>722</v>
      </c>
      <c r="M5" t="s">
        <v>589</v>
      </c>
      <c r="N5" s="4">
        <v>3605597</v>
      </c>
      <c r="O5" t="s">
        <v>56</v>
      </c>
      <c r="P5">
        <v>454</v>
      </c>
      <c r="Q5">
        <v>26</v>
      </c>
      <c r="R5">
        <v>2</v>
      </c>
      <c r="S5">
        <v>28</v>
      </c>
      <c r="T5" t="s">
        <v>57</v>
      </c>
      <c r="U5">
        <v>20</v>
      </c>
      <c r="V5" t="s">
        <v>58</v>
      </c>
      <c r="W5" t="s">
        <v>59</v>
      </c>
      <c r="X5" t="s">
        <v>381</v>
      </c>
      <c r="Y5">
        <v>1</v>
      </c>
      <c r="Z5" t="s">
        <v>61</v>
      </c>
      <c r="AG5">
        <v>389</v>
      </c>
      <c r="AH5">
        <v>15</v>
      </c>
      <c r="AI5">
        <v>22</v>
      </c>
      <c r="AJ5">
        <v>23</v>
      </c>
      <c r="AK5">
        <v>0</v>
      </c>
      <c r="AL5">
        <v>0</v>
      </c>
      <c r="AM5">
        <v>5</v>
      </c>
      <c r="AN5">
        <v>0</v>
      </c>
      <c r="AO5" t="s">
        <v>723</v>
      </c>
      <c r="AP5" t="s">
        <v>600</v>
      </c>
      <c r="AQ5">
        <v>41.419780000000003</v>
      </c>
      <c r="AR5">
        <v>-73.277750999999995</v>
      </c>
      <c r="AS5">
        <v>35.76</v>
      </c>
      <c r="AT5" t="s">
        <v>124</v>
      </c>
      <c r="AU5">
        <v>4</v>
      </c>
      <c r="AV5">
        <v>23</v>
      </c>
      <c r="AW5" t="s">
        <v>590</v>
      </c>
      <c r="AX5">
        <v>9</v>
      </c>
      <c r="AY5">
        <v>9001</v>
      </c>
      <c r="AZ5">
        <v>22</v>
      </c>
    </row>
    <row r="6" spans="1:52" x14ac:dyDescent="0.3">
      <c r="A6">
        <v>220</v>
      </c>
      <c r="B6" s="3">
        <v>483927000000</v>
      </c>
      <c r="C6" t="s">
        <v>1055</v>
      </c>
      <c r="D6" t="str">
        <f>IF(ISNUMBER(SEARCH("High",C6)), "High School","")</f>
        <v>High School</v>
      </c>
      <c r="E6">
        <v>4839270</v>
      </c>
      <c r="F6" t="s">
        <v>1056</v>
      </c>
      <c r="G6" s="1">
        <v>43238</v>
      </c>
      <c r="H6" t="s">
        <v>965</v>
      </c>
      <c r="I6">
        <v>2018</v>
      </c>
      <c r="J6" s="2">
        <v>0.3125</v>
      </c>
      <c r="K6" t="s">
        <v>95</v>
      </c>
      <c r="L6" t="s">
        <v>1057</v>
      </c>
      <c r="M6" t="s">
        <v>205</v>
      </c>
      <c r="N6" s="4">
        <v>29527941</v>
      </c>
      <c r="O6" t="s">
        <v>56</v>
      </c>
      <c r="P6">
        <v>1462</v>
      </c>
      <c r="Q6">
        <v>10</v>
      </c>
      <c r="R6">
        <v>13</v>
      </c>
      <c r="S6">
        <v>23</v>
      </c>
      <c r="T6" t="s">
        <v>57</v>
      </c>
      <c r="U6">
        <v>17</v>
      </c>
      <c r="V6" t="s">
        <v>58</v>
      </c>
      <c r="W6" t="s">
        <v>59</v>
      </c>
      <c r="X6" t="s">
        <v>60</v>
      </c>
      <c r="Y6">
        <v>0</v>
      </c>
      <c r="AG6">
        <v>1136</v>
      </c>
      <c r="AH6">
        <v>10</v>
      </c>
      <c r="AI6">
        <v>278</v>
      </c>
      <c r="AJ6">
        <v>8</v>
      </c>
      <c r="AK6">
        <v>9</v>
      </c>
      <c r="AL6">
        <v>1</v>
      </c>
      <c r="AM6">
        <v>20</v>
      </c>
      <c r="AN6">
        <v>1</v>
      </c>
      <c r="AO6" t="s">
        <v>1058</v>
      </c>
      <c r="AQ6">
        <v>29.393256999999998</v>
      </c>
      <c r="AR6">
        <v>-95.143148999999994</v>
      </c>
      <c r="AS6">
        <v>83.38</v>
      </c>
      <c r="AT6">
        <v>9</v>
      </c>
      <c r="AU6">
        <v>12</v>
      </c>
      <c r="AV6">
        <v>287</v>
      </c>
      <c r="AW6" t="s">
        <v>1059</v>
      </c>
      <c r="AX6">
        <v>48</v>
      </c>
      <c r="AY6">
        <v>48167</v>
      </c>
      <c r="AZ6">
        <v>22</v>
      </c>
    </row>
    <row r="7" spans="1:52" x14ac:dyDescent="0.3">
      <c r="A7">
        <v>206</v>
      </c>
      <c r="B7" s="3">
        <v>210381000000</v>
      </c>
      <c r="C7" t="s">
        <v>1002</v>
      </c>
      <c r="D7" t="str">
        <f>IF(ISNUMBER(SEARCH("High",C7)), "High School","")</f>
        <v>High School</v>
      </c>
      <c r="E7">
        <v>2103810</v>
      </c>
      <c r="F7" t="s">
        <v>1003</v>
      </c>
      <c r="G7" s="1">
        <v>43123</v>
      </c>
      <c r="H7" t="s">
        <v>965</v>
      </c>
      <c r="I7">
        <v>2018</v>
      </c>
      <c r="J7" s="2">
        <v>0.33124999999999999</v>
      </c>
      <c r="K7" t="s">
        <v>53</v>
      </c>
      <c r="L7" t="s">
        <v>1004</v>
      </c>
      <c r="M7" t="s">
        <v>248</v>
      </c>
      <c r="N7" s="4">
        <v>4509394</v>
      </c>
      <c r="O7" t="s">
        <v>56</v>
      </c>
      <c r="P7">
        <v>1384</v>
      </c>
      <c r="Q7">
        <v>2</v>
      </c>
      <c r="R7">
        <v>14</v>
      </c>
      <c r="S7">
        <v>16</v>
      </c>
      <c r="T7" t="s">
        <v>57</v>
      </c>
      <c r="U7">
        <v>15</v>
      </c>
      <c r="V7" t="s">
        <v>58</v>
      </c>
      <c r="W7" t="s">
        <v>59</v>
      </c>
      <c r="X7" t="s">
        <v>60</v>
      </c>
      <c r="Y7">
        <v>0</v>
      </c>
      <c r="AG7">
        <v>1353</v>
      </c>
      <c r="AH7">
        <v>1</v>
      </c>
      <c r="AI7">
        <v>14</v>
      </c>
      <c r="AJ7">
        <v>2</v>
      </c>
      <c r="AK7">
        <v>3</v>
      </c>
      <c r="AL7">
        <v>0</v>
      </c>
      <c r="AM7">
        <v>11</v>
      </c>
      <c r="AN7">
        <v>1</v>
      </c>
      <c r="AO7" t="s">
        <v>136</v>
      </c>
      <c r="AP7" t="s">
        <v>1005</v>
      </c>
      <c r="AQ7">
        <v>36.912835000000001</v>
      </c>
      <c r="AR7">
        <v>-88.332916999999995</v>
      </c>
      <c r="AS7">
        <v>73.099999999999994</v>
      </c>
      <c r="AT7">
        <v>9</v>
      </c>
      <c r="AU7">
        <v>12</v>
      </c>
      <c r="AV7">
        <v>584</v>
      </c>
      <c r="AW7" t="s">
        <v>1003</v>
      </c>
      <c r="AX7">
        <v>21</v>
      </c>
      <c r="AY7">
        <v>21157</v>
      </c>
      <c r="AZ7">
        <v>42</v>
      </c>
    </row>
    <row r="8" spans="1:52" x14ac:dyDescent="0.3">
      <c r="A8">
        <v>23</v>
      </c>
      <c r="B8">
        <v>61623002026</v>
      </c>
      <c r="C8" t="s">
        <v>209</v>
      </c>
      <c r="D8" t="str">
        <f>IF(ISNUMBER(SEARCH("High",C8)), "High School","")</f>
        <v>High School</v>
      </c>
      <c r="E8">
        <v>616230</v>
      </c>
      <c r="F8" t="s">
        <v>210</v>
      </c>
      <c r="G8" s="1">
        <v>36955</v>
      </c>
      <c r="H8" t="s">
        <v>178</v>
      </c>
      <c r="I8">
        <v>2001</v>
      </c>
      <c r="J8" s="2">
        <v>0.3888888888888889</v>
      </c>
      <c r="K8" t="s">
        <v>82</v>
      </c>
      <c r="L8" t="s">
        <v>211</v>
      </c>
      <c r="M8" t="s">
        <v>121</v>
      </c>
      <c r="N8" s="4">
        <v>39237836</v>
      </c>
      <c r="O8" t="s">
        <v>56</v>
      </c>
      <c r="P8">
        <v>1894</v>
      </c>
      <c r="Q8">
        <v>2</v>
      </c>
      <c r="R8">
        <v>13</v>
      </c>
      <c r="S8">
        <v>15</v>
      </c>
      <c r="T8" t="s">
        <v>57</v>
      </c>
      <c r="U8">
        <v>15</v>
      </c>
      <c r="V8" t="s">
        <v>58</v>
      </c>
      <c r="W8" t="s">
        <v>59</v>
      </c>
      <c r="X8" t="s">
        <v>60</v>
      </c>
      <c r="Y8">
        <v>0</v>
      </c>
      <c r="AG8">
        <v>1591</v>
      </c>
      <c r="AH8">
        <v>24</v>
      </c>
      <c r="AI8">
        <v>174</v>
      </c>
      <c r="AJ8">
        <v>58</v>
      </c>
      <c r="AK8">
        <v>8</v>
      </c>
      <c r="AN8">
        <v>1</v>
      </c>
      <c r="AO8" t="s">
        <v>212</v>
      </c>
      <c r="AP8" t="s">
        <v>108</v>
      </c>
      <c r="AQ8">
        <v>32.857559999999999</v>
      </c>
      <c r="AR8">
        <v>-116.971045</v>
      </c>
      <c r="AS8">
        <v>79.900000000000006</v>
      </c>
      <c r="AT8">
        <v>9</v>
      </c>
      <c r="AU8">
        <v>12</v>
      </c>
      <c r="AV8">
        <v>202</v>
      </c>
      <c r="AW8" t="s">
        <v>213</v>
      </c>
      <c r="AX8">
        <v>6</v>
      </c>
      <c r="AY8">
        <v>6073</v>
      </c>
      <c r="AZ8">
        <v>21</v>
      </c>
    </row>
    <row r="9" spans="1:52" x14ac:dyDescent="0.3">
      <c r="A9">
        <v>61</v>
      </c>
      <c r="B9" s="3">
        <v>273051000000</v>
      </c>
      <c r="C9" t="s">
        <v>379</v>
      </c>
      <c r="D9" t="str">
        <f>IF(ISNUMBER(SEARCH("High",C9)), "High School","")</f>
        <v>High School</v>
      </c>
      <c r="E9">
        <v>2730510</v>
      </c>
      <c r="F9" t="s">
        <v>380</v>
      </c>
      <c r="G9" s="1">
        <v>38432</v>
      </c>
      <c r="H9" t="s">
        <v>356</v>
      </c>
      <c r="I9">
        <v>2005</v>
      </c>
      <c r="J9" s="2">
        <v>0.61736111111111114</v>
      </c>
      <c r="K9" t="s">
        <v>82</v>
      </c>
      <c r="L9" t="s">
        <v>380</v>
      </c>
      <c r="M9" t="s">
        <v>321</v>
      </c>
      <c r="N9" s="4">
        <v>5707390</v>
      </c>
      <c r="O9" t="s">
        <v>56</v>
      </c>
      <c r="P9">
        <v>331</v>
      </c>
      <c r="Q9">
        <v>7</v>
      </c>
      <c r="R9">
        <v>7</v>
      </c>
      <c r="S9">
        <v>14</v>
      </c>
      <c r="T9" t="s">
        <v>57</v>
      </c>
      <c r="U9">
        <v>16</v>
      </c>
      <c r="V9" t="s">
        <v>58</v>
      </c>
      <c r="W9" t="s">
        <v>106</v>
      </c>
      <c r="X9" t="s">
        <v>381</v>
      </c>
      <c r="Y9">
        <v>1</v>
      </c>
      <c r="Z9" t="s">
        <v>61</v>
      </c>
      <c r="AG9">
        <v>0</v>
      </c>
      <c r="AH9">
        <v>0</v>
      </c>
      <c r="AI9">
        <v>0</v>
      </c>
      <c r="AJ9">
        <v>0</v>
      </c>
      <c r="AK9">
        <v>331</v>
      </c>
      <c r="AN9">
        <v>1</v>
      </c>
      <c r="AO9" t="s">
        <v>382</v>
      </c>
      <c r="AP9" t="s">
        <v>167</v>
      </c>
      <c r="AQ9">
        <v>47.850900000000003</v>
      </c>
      <c r="AR9">
        <v>-95.062899999999999</v>
      </c>
      <c r="AS9">
        <v>31.1</v>
      </c>
      <c r="AT9">
        <v>9</v>
      </c>
      <c r="AU9">
        <v>12</v>
      </c>
      <c r="AV9">
        <v>295</v>
      </c>
      <c r="AW9" t="s">
        <v>383</v>
      </c>
      <c r="AX9">
        <v>27</v>
      </c>
      <c r="AY9">
        <v>27007</v>
      </c>
      <c r="AZ9">
        <v>43</v>
      </c>
    </row>
    <row r="10" spans="1:52" x14ac:dyDescent="0.3">
      <c r="A10">
        <v>304</v>
      </c>
      <c r="B10" s="3">
        <v>262724000000</v>
      </c>
      <c r="C10" t="s">
        <v>1303</v>
      </c>
      <c r="D10" t="str">
        <f>IF(ISNUMBER(SEARCH("High",C10)), "High School","")</f>
        <v>High School</v>
      </c>
      <c r="E10">
        <v>2627240</v>
      </c>
      <c r="F10" t="s">
        <v>1304</v>
      </c>
      <c r="G10" s="1">
        <v>44530</v>
      </c>
      <c r="H10" t="s">
        <v>1243</v>
      </c>
      <c r="I10">
        <v>2021</v>
      </c>
      <c r="J10" s="2">
        <v>0.53472222222222221</v>
      </c>
      <c r="K10" t="s">
        <v>53</v>
      </c>
      <c r="L10" t="s">
        <v>1305</v>
      </c>
      <c r="M10" t="s">
        <v>145</v>
      </c>
      <c r="N10" s="4">
        <v>10050811</v>
      </c>
      <c r="O10" t="s">
        <v>56</v>
      </c>
      <c r="P10">
        <v>1872</v>
      </c>
      <c r="Q10">
        <v>4</v>
      </c>
      <c r="R10">
        <v>7</v>
      </c>
      <c r="S10">
        <v>11</v>
      </c>
      <c r="T10" t="s">
        <v>57</v>
      </c>
      <c r="U10">
        <v>15</v>
      </c>
      <c r="V10" t="s">
        <v>58</v>
      </c>
      <c r="W10" t="s">
        <v>59</v>
      </c>
      <c r="X10" t="s">
        <v>60</v>
      </c>
      <c r="Y10">
        <v>0</v>
      </c>
      <c r="AG10">
        <v>1549</v>
      </c>
      <c r="AH10">
        <v>53</v>
      </c>
      <c r="AI10">
        <v>186</v>
      </c>
      <c r="AJ10">
        <v>30</v>
      </c>
      <c r="AK10">
        <v>1</v>
      </c>
      <c r="AL10">
        <v>5</v>
      </c>
      <c r="AM10">
        <v>48</v>
      </c>
      <c r="AN10">
        <v>0</v>
      </c>
      <c r="AO10" t="s">
        <v>327</v>
      </c>
      <c r="AP10" t="s">
        <v>501</v>
      </c>
      <c r="AQ10">
        <v>42.838242999999999</v>
      </c>
      <c r="AR10">
        <v>-83.260782000000006</v>
      </c>
      <c r="AS10">
        <v>81.8</v>
      </c>
      <c r="AT10">
        <v>9</v>
      </c>
      <c r="AU10">
        <v>12</v>
      </c>
      <c r="AV10">
        <v>451</v>
      </c>
      <c r="AW10" t="s">
        <v>1264</v>
      </c>
      <c r="AX10">
        <v>26</v>
      </c>
      <c r="AY10">
        <v>26125</v>
      </c>
      <c r="AZ10">
        <v>21</v>
      </c>
    </row>
    <row r="11" spans="1:52" x14ac:dyDescent="0.3">
      <c r="A11">
        <v>84</v>
      </c>
      <c r="C11" t="s">
        <v>491</v>
      </c>
      <c r="D11" t="s">
        <v>1542</v>
      </c>
      <c r="G11" s="1">
        <v>38992</v>
      </c>
      <c r="H11" t="s">
        <v>471</v>
      </c>
      <c r="I11">
        <v>2006</v>
      </c>
      <c r="J11" s="2">
        <v>0.46319444444444446</v>
      </c>
      <c r="K11" t="s">
        <v>82</v>
      </c>
      <c r="L11" t="s">
        <v>492</v>
      </c>
      <c r="M11" t="s">
        <v>84</v>
      </c>
      <c r="N11" s="4">
        <v>12964056</v>
      </c>
      <c r="O11" t="s">
        <v>216</v>
      </c>
      <c r="P11">
        <v>26</v>
      </c>
      <c r="Q11">
        <v>5</v>
      </c>
      <c r="R11">
        <v>5</v>
      </c>
      <c r="S11">
        <v>10</v>
      </c>
      <c r="T11" t="s">
        <v>70</v>
      </c>
      <c r="U11">
        <v>32</v>
      </c>
      <c r="V11" t="s">
        <v>58</v>
      </c>
      <c r="W11" t="s">
        <v>59</v>
      </c>
      <c r="X11" t="s">
        <v>493</v>
      </c>
      <c r="Y11">
        <v>1</v>
      </c>
      <c r="Z11" t="s">
        <v>61</v>
      </c>
      <c r="AG11">
        <v>26</v>
      </c>
      <c r="AH11">
        <v>0</v>
      </c>
      <c r="AI11">
        <v>0</v>
      </c>
      <c r="AJ11">
        <v>0</v>
      </c>
      <c r="AK11">
        <v>0</v>
      </c>
      <c r="AN11">
        <v>0</v>
      </c>
      <c r="AO11" t="s">
        <v>494</v>
      </c>
      <c r="AP11" t="s">
        <v>495</v>
      </c>
      <c r="AQ11">
        <v>39.960081000000002</v>
      </c>
      <c r="AR11">
        <v>-76.084367</v>
      </c>
      <c r="AW11" t="s">
        <v>496</v>
      </c>
      <c r="AX11">
        <v>42</v>
      </c>
      <c r="AY11">
        <v>42071</v>
      </c>
    </row>
    <row r="12" spans="1:52" x14ac:dyDescent="0.3">
      <c r="A12">
        <v>91</v>
      </c>
      <c r="B12" s="3">
        <v>410600000000</v>
      </c>
      <c r="C12" t="s">
        <v>519</v>
      </c>
      <c r="D12" t="str">
        <f>IF(ISNUMBER(SEARCH("High",C12)), "High School","")</f>
        <v>High School</v>
      </c>
      <c r="E12">
        <v>4106000</v>
      </c>
      <c r="F12" t="s">
        <v>520</v>
      </c>
      <c r="G12" s="1">
        <v>39182</v>
      </c>
      <c r="H12" t="s">
        <v>471</v>
      </c>
      <c r="I12">
        <v>2007</v>
      </c>
      <c r="J12" s="2">
        <v>0.59375</v>
      </c>
      <c r="K12" t="s">
        <v>53</v>
      </c>
      <c r="L12" t="s">
        <v>521</v>
      </c>
      <c r="M12" t="s">
        <v>459</v>
      </c>
      <c r="N12" s="4">
        <v>4246155</v>
      </c>
      <c r="O12" t="s">
        <v>56</v>
      </c>
      <c r="P12">
        <v>163</v>
      </c>
      <c r="Q12">
        <v>0</v>
      </c>
      <c r="R12">
        <v>10</v>
      </c>
      <c r="S12">
        <v>10</v>
      </c>
      <c r="T12" t="s">
        <v>57</v>
      </c>
      <c r="U12">
        <v>15</v>
      </c>
      <c r="V12" t="s">
        <v>58</v>
      </c>
      <c r="X12" t="s">
        <v>60</v>
      </c>
      <c r="Y12">
        <v>0</v>
      </c>
      <c r="AG12">
        <v>133</v>
      </c>
      <c r="AH12">
        <v>3</v>
      </c>
      <c r="AI12">
        <v>17</v>
      </c>
      <c r="AJ12">
        <v>3</v>
      </c>
      <c r="AK12">
        <v>4</v>
      </c>
      <c r="AN12">
        <v>0</v>
      </c>
      <c r="AO12" t="s">
        <v>522</v>
      </c>
      <c r="AP12" t="s">
        <v>306</v>
      </c>
      <c r="AQ12">
        <v>45.486550000000001</v>
      </c>
      <c r="AR12">
        <v>-122.40894</v>
      </c>
      <c r="AS12">
        <v>11.8</v>
      </c>
      <c r="AT12">
        <v>9</v>
      </c>
      <c r="AU12">
        <v>12</v>
      </c>
      <c r="AV12">
        <v>51</v>
      </c>
      <c r="AW12" t="s">
        <v>523</v>
      </c>
      <c r="AX12">
        <v>41</v>
      </c>
      <c r="AY12">
        <v>41051</v>
      </c>
      <c r="AZ12">
        <v>21</v>
      </c>
    </row>
    <row r="13" spans="1:52" x14ac:dyDescent="0.3">
      <c r="A13">
        <v>239</v>
      </c>
      <c r="B13">
        <v>80345006493</v>
      </c>
      <c r="C13" t="s">
        <v>1131</v>
      </c>
      <c r="D13" t="str">
        <f>IF(ISNUMBER(SEARCH("High",C13)), "High School","")</f>
        <v>High School</v>
      </c>
      <c r="E13">
        <v>803450</v>
      </c>
      <c r="F13" t="s">
        <v>1132</v>
      </c>
      <c r="G13" s="1">
        <v>43592</v>
      </c>
      <c r="H13" t="s">
        <v>1065</v>
      </c>
      <c r="I13">
        <v>2019</v>
      </c>
      <c r="J13" s="2">
        <v>0.57777777777777783</v>
      </c>
      <c r="K13" t="s">
        <v>53</v>
      </c>
      <c r="L13" t="s">
        <v>1133</v>
      </c>
      <c r="M13" t="s">
        <v>55</v>
      </c>
      <c r="N13" s="4">
        <v>5812069</v>
      </c>
      <c r="O13" t="s">
        <v>56</v>
      </c>
      <c r="P13">
        <v>1850</v>
      </c>
      <c r="Q13">
        <v>1</v>
      </c>
      <c r="R13">
        <v>8</v>
      </c>
      <c r="S13">
        <v>9</v>
      </c>
      <c r="T13" t="s">
        <v>57</v>
      </c>
      <c r="U13">
        <v>16</v>
      </c>
      <c r="V13" t="s">
        <v>58</v>
      </c>
      <c r="W13" t="s">
        <v>59</v>
      </c>
      <c r="X13" t="s">
        <v>60</v>
      </c>
      <c r="Y13">
        <v>0</v>
      </c>
      <c r="AA13">
        <v>18</v>
      </c>
      <c r="AB13" t="s">
        <v>58</v>
      </c>
      <c r="AC13" t="s">
        <v>59</v>
      </c>
      <c r="AD13" t="s">
        <v>60</v>
      </c>
      <c r="AE13">
        <v>0</v>
      </c>
      <c r="AG13">
        <v>1074</v>
      </c>
      <c r="AH13">
        <v>5</v>
      </c>
      <c r="AI13">
        <v>184</v>
      </c>
      <c r="AJ13">
        <v>242</v>
      </c>
      <c r="AK13">
        <v>5</v>
      </c>
      <c r="AL13">
        <v>1</v>
      </c>
      <c r="AM13">
        <v>87</v>
      </c>
      <c r="AN13">
        <v>1</v>
      </c>
      <c r="AO13" t="s">
        <v>1134</v>
      </c>
      <c r="AP13" t="s">
        <v>501</v>
      </c>
      <c r="AQ13">
        <v>39.555900000000001</v>
      </c>
      <c r="AR13">
        <v>-104.9979</v>
      </c>
      <c r="AS13">
        <v>82.62</v>
      </c>
      <c r="AT13" t="s">
        <v>124</v>
      </c>
      <c r="AU13">
        <v>12</v>
      </c>
      <c r="AV13">
        <v>89</v>
      </c>
      <c r="AW13" t="s">
        <v>461</v>
      </c>
      <c r="AX13">
        <v>8</v>
      </c>
      <c r="AY13">
        <v>8035</v>
      </c>
      <c r="AZ13">
        <v>21</v>
      </c>
    </row>
    <row r="14" spans="1:52" x14ac:dyDescent="0.3">
      <c r="A14">
        <v>356</v>
      </c>
      <c r="B14" s="3">
        <v>292928000000</v>
      </c>
      <c r="C14" t="s">
        <v>1443</v>
      </c>
      <c r="D14" t="str">
        <f>IF(ISNUMBER(SEARCH("High",C14)), "High School","")</f>
        <v>High School</v>
      </c>
      <c r="E14">
        <v>2929280</v>
      </c>
      <c r="F14" t="s">
        <v>1444</v>
      </c>
      <c r="G14" s="1">
        <v>44858</v>
      </c>
      <c r="H14" t="s">
        <v>1417</v>
      </c>
      <c r="I14">
        <v>2022</v>
      </c>
      <c r="J14" s="2">
        <v>0.38194444444444442</v>
      </c>
      <c r="K14" t="s">
        <v>82</v>
      </c>
      <c r="L14" t="s">
        <v>1445</v>
      </c>
      <c r="M14" t="s">
        <v>281</v>
      </c>
      <c r="N14" s="4">
        <v>6168187</v>
      </c>
      <c r="O14" t="s">
        <v>56</v>
      </c>
      <c r="P14">
        <v>380</v>
      </c>
      <c r="Q14">
        <v>2</v>
      </c>
      <c r="R14">
        <v>7</v>
      </c>
      <c r="S14">
        <v>9</v>
      </c>
      <c r="T14" t="s">
        <v>57</v>
      </c>
      <c r="U14">
        <v>19</v>
      </c>
      <c r="V14" t="s">
        <v>58</v>
      </c>
      <c r="W14" t="s">
        <v>146</v>
      </c>
      <c r="AG14">
        <v>56</v>
      </c>
      <c r="AH14">
        <v>289</v>
      </c>
      <c r="AI14">
        <v>26</v>
      </c>
      <c r="AJ14">
        <v>6</v>
      </c>
      <c r="AK14">
        <v>1</v>
      </c>
      <c r="AL14">
        <v>0</v>
      </c>
      <c r="AM14">
        <v>2</v>
      </c>
      <c r="AN14">
        <v>0</v>
      </c>
      <c r="AQ14">
        <v>38.604371999999998</v>
      </c>
      <c r="AR14">
        <v>-90.270897000000005</v>
      </c>
      <c r="AS14">
        <v>26.45</v>
      </c>
      <c r="AT14">
        <v>9</v>
      </c>
      <c r="AU14">
        <v>12</v>
      </c>
      <c r="AV14">
        <v>377</v>
      </c>
      <c r="AW14" t="s">
        <v>1444</v>
      </c>
      <c r="AX14">
        <v>29</v>
      </c>
      <c r="AY14">
        <v>29510</v>
      </c>
      <c r="AZ14">
        <v>11</v>
      </c>
    </row>
    <row r="15" spans="1:52" x14ac:dyDescent="0.3">
      <c r="A15">
        <v>3</v>
      </c>
      <c r="B15" s="3">
        <v>130441000000</v>
      </c>
      <c r="C15" t="s">
        <v>74</v>
      </c>
      <c r="D15" t="str">
        <f>IF(ISNUMBER(SEARCH("High",C15)), "High School","")</f>
        <v>High School</v>
      </c>
      <c r="E15">
        <v>1304410</v>
      </c>
      <c r="F15" t="s">
        <v>75</v>
      </c>
      <c r="G15" s="1">
        <v>36300</v>
      </c>
      <c r="H15" t="s">
        <v>52</v>
      </c>
      <c r="I15">
        <v>1999</v>
      </c>
      <c r="J15" s="2">
        <v>0.3354166666666667</v>
      </c>
      <c r="K15" t="s">
        <v>67</v>
      </c>
      <c r="L15" t="s">
        <v>76</v>
      </c>
      <c r="M15" t="s">
        <v>77</v>
      </c>
      <c r="N15" s="4">
        <v>10799566</v>
      </c>
      <c r="O15" t="s">
        <v>56</v>
      </c>
      <c r="P15">
        <v>1369</v>
      </c>
      <c r="Q15">
        <v>0</v>
      </c>
      <c r="R15">
        <v>6</v>
      </c>
      <c r="S15">
        <v>6</v>
      </c>
      <c r="T15" t="s">
        <v>57</v>
      </c>
      <c r="U15">
        <v>15</v>
      </c>
      <c r="V15" t="s">
        <v>58</v>
      </c>
      <c r="W15" t="s">
        <v>59</v>
      </c>
      <c r="X15" t="s">
        <v>60</v>
      </c>
      <c r="Y15">
        <v>0</v>
      </c>
      <c r="AG15">
        <v>1189</v>
      </c>
      <c r="AH15">
        <v>136</v>
      </c>
      <c r="AI15">
        <v>28</v>
      </c>
      <c r="AJ15">
        <v>15</v>
      </c>
      <c r="AK15">
        <v>1</v>
      </c>
      <c r="AN15">
        <v>1</v>
      </c>
      <c r="AO15" t="s">
        <v>78</v>
      </c>
      <c r="AQ15">
        <v>33.626922</v>
      </c>
      <c r="AR15">
        <v>-84.047960000000003</v>
      </c>
      <c r="AS15">
        <v>84</v>
      </c>
      <c r="AT15">
        <v>9</v>
      </c>
      <c r="AU15">
        <v>12</v>
      </c>
      <c r="AV15">
        <v>125</v>
      </c>
      <c r="AW15" t="s">
        <v>75</v>
      </c>
      <c r="AX15">
        <v>13</v>
      </c>
      <c r="AY15">
        <v>13247</v>
      </c>
      <c r="AZ15">
        <v>21</v>
      </c>
    </row>
    <row r="16" spans="1:52" x14ac:dyDescent="0.3">
      <c r="A16">
        <v>134</v>
      </c>
      <c r="B16" s="3">
        <v>390472000000</v>
      </c>
      <c r="C16" t="s">
        <v>691</v>
      </c>
      <c r="D16" t="str">
        <f>IF(ISNUMBER(SEARCH("High",C16)), "High School","")</f>
        <v>High School</v>
      </c>
      <c r="E16">
        <v>3904718</v>
      </c>
      <c r="F16" t="s">
        <v>692</v>
      </c>
      <c r="G16" s="1">
        <v>40966</v>
      </c>
      <c r="H16" t="s">
        <v>671</v>
      </c>
      <c r="I16">
        <v>2012</v>
      </c>
      <c r="J16" s="2">
        <v>0.3125</v>
      </c>
      <c r="K16" t="s">
        <v>82</v>
      </c>
      <c r="L16" t="s">
        <v>693</v>
      </c>
      <c r="M16" t="s">
        <v>180</v>
      </c>
      <c r="N16" s="4">
        <v>11780017</v>
      </c>
      <c r="O16" t="s">
        <v>56</v>
      </c>
      <c r="P16">
        <v>1058</v>
      </c>
      <c r="Q16">
        <v>3</v>
      </c>
      <c r="R16">
        <v>3</v>
      </c>
      <c r="S16">
        <v>6</v>
      </c>
      <c r="T16" t="s">
        <v>57</v>
      </c>
      <c r="U16">
        <v>17</v>
      </c>
      <c r="V16" t="s">
        <v>58</v>
      </c>
      <c r="W16" t="s">
        <v>59</v>
      </c>
      <c r="X16" t="s">
        <v>694</v>
      </c>
      <c r="Y16">
        <v>0</v>
      </c>
      <c r="AG16">
        <v>1028</v>
      </c>
      <c r="AH16">
        <v>5</v>
      </c>
      <c r="AI16">
        <v>9</v>
      </c>
      <c r="AJ16">
        <v>4</v>
      </c>
      <c r="AK16">
        <v>4</v>
      </c>
      <c r="AL16">
        <v>0</v>
      </c>
      <c r="AM16">
        <v>8</v>
      </c>
      <c r="AN16">
        <v>0</v>
      </c>
      <c r="AO16" t="s">
        <v>695</v>
      </c>
      <c r="AP16" t="s">
        <v>696</v>
      </c>
      <c r="AQ16">
        <v>41.591296999999997</v>
      </c>
      <c r="AR16">
        <v>-81.199957999999995</v>
      </c>
      <c r="AS16">
        <v>58</v>
      </c>
      <c r="AT16">
        <v>9</v>
      </c>
      <c r="AU16">
        <v>12</v>
      </c>
      <c r="AV16">
        <v>193</v>
      </c>
      <c r="AW16" t="s">
        <v>697</v>
      </c>
      <c r="AX16">
        <v>39</v>
      </c>
      <c r="AY16">
        <v>39055</v>
      </c>
      <c r="AZ16">
        <v>31</v>
      </c>
    </row>
    <row r="17" spans="1:52" x14ac:dyDescent="0.3">
      <c r="A17">
        <v>353</v>
      </c>
      <c r="B17">
        <v>62805007326</v>
      </c>
      <c r="C17" t="s">
        <v>1437</v>
      </c>
      <c r="D17" t="str">
        <f>IF(ISNUMBER(SEARCH("High",C17)), "High School","")</f>
        <v>High School</v>
      </c>
      <c r="E17">
        <v>628050</v>
      </c>
      <c r="F17" t="s">
        <v>1425</v>
      </c>
      <c r="G17" s="1">
        <v>44832</v>
      </c>
      <c r="H17" t="s">
        <v>1417</v>
      </c>
      <c r="I17">
        <v>2022</v>
      </c>
      <c r="J17" s="2">
        <v>0.53125</v>
      </c>
      <c r="K17" t="s">
        <v>90</v>
      </c>
      <c r="L17" t="s">
        <v>352</v>
      </c>
      <c r="M17" t="s">
        <v>121</v>
      </c>
      <c r="N17" s="4">
        <v>39237836</v>
      </c>
      <c r="O17" t="s">
        <v>56</v>
      </c>
      <c r="P17">
        <v>294</v>
      </c>
      <c r="Q17">
        <v>0</v>
      </c>
      <c r="R17">
        <v>6</v>
      </c>
      <c r="S17">
        <v>6</v>
      </c>
      <c r="T17" t="s">
        <v>57</v>
      </c>
      <c r="AG17">
        <v>1</v>
      </c>
      <c r="AH17">
        <v>56</v>
      </c>
      <c r="AI17">
        <v>229</v>
      </c>
      <c r="AJ17">
        <v>3</v>
      </c>
      <c r="AK17">
        <v>0</v>
      </c>
      <c r="AL17">
        <v>3</v>
      </c>
      <c r="AM17">
        <v>2</v>
      </c>
      <c r="AN17">
        <v>0</v>
      </c>
      <c r="AQ17">
        <v>37.765729999999998</v>
      </c>
      <c r="AR17">
        <v>-122.15392300000001</v>
      </c>
      <c r="AS17">
        <v>17.8</v>
      </c>
      <c r="AT17">
        <v>9</v>
      </c>
      <c r="AU17">
        <v>12</v>
      </c>
      <c r="AV17">
        <v>255</v>
      </c>
      <c r="AW17" t="s">
        <v>353</v>
      </c>
      <c r="AX17">
        <v>6</v>
      </c>
      <c r="AY17">
        <v>6001</v>
      </c>
      <c r="AZ17">
        <v>11</v>
      </c>
    </row>
    <row r="18" spans="1:52" x14ac:dyDescent="0.3">
      <c r="A18">
        <v>380</v>
      </c>
      <c r="B18" t="s">
        <v>1520</v>
      </c>
      <c r="C18" t="s">
        <v>1521</v>
      </c>
      <c r="D18" t="s">
        <v>1542</v>
      </c>
      <c r="G18" s="1">
        <v>45012</v>
      </c>
      <c r="H18" t="s">
        <v>1417</v>
      </c>
      <c r="I18">
        <v>2023</v>
      </c>
      <c r="J18" s="2">
        <v>0.42569444444444443</v>
      </c>
      <c r="K18" t="s">
        <v>82</v>
      </c>
      <c r="L18" t="s">
        <v>376</v>
      </c>
      <c r="M18" t="s">
        <v>377</v>
      </c>
      <c r="N18" s="4">
        <v>6975218</v>
      </c>
      <c r="O18" t="s">
        <v>216</v>
      </c>
      <c r="P18">
        <v>200</v>
      </c>
      <c r="Q18">
        <v>6</v>
      </c>
      <c r="R18">
        <v>0</v>
      </c>
      <c r="S18">
        <v>6</v>
      </c>
      <c r="T18" t="s">
        <v>57</v>
      </c>
      <c r="U18">
        <v>28</v>
      </c>
      <c r="V18" t="s">
        <v>152</v>
      </c>
      <c r="W18" t="s">
        <v>59</v>
      </c>
      <c r="X18" t="s">
        <v>381</v>
      </c>
      <c r="Y18">
        <v>1</v>
      </c>
      <c r="Z18" t="s">
        <v>1097</v>
      </c>
      <c r="AG18">
        <v>112</v>
      </c>
      <c r="AH18">
        <v>3</v>
      </c>
      <c r="AI18">
        <v>0</v>
      </c>
      <c r="AJ18">
        <v>1</v>
      </c>
      <c r="AK18">
        <v>0</v>
      </c>
      <c r="AL18">
        <v>0</v>
      </c>
      <c r="AM18">
        <v>0</v>
      </c>
      <c r="AN18">
        <v>0</v>
      </c>
      <c r="AQ18">
        <v>36.09286762</v>
      </c>
      <c r="AR18">
        <v>-86.825266119999995</v>
      </c>
      <c r="AS18">
        <v>15</v>
      </c>
      <c r="AT18" t="s">
        <v>130</v>
      </c>
      <c r="AU18">
        <v>6</v>
      </c>
      <c r="AW18" t="s">
        <v>378</v>
      </c>
      <c r="AX18">
        <v>47</v>
      </c>
      <c r="AY18">
        <v>47037</v>
      </c>
      <c r="AZ18">
        <v>11</v>
      </c>
    </row>
    <row r="19" spans="1:52" x14ac:dyDescent="0.3">
      <c r="A19">
        <v>7</v>
      </c>
      <c r="B19" s="3">
        <v>401197000000</v>
      </c>
      <c r="C19" t="s">
        <v>103</v>
      </c>
      <c r="D19" t="str">
        <f>IF(ISNUMBER(SEARCH("Middle",C19)), "Middle School","")</f>
        <v>Middle School</v>
      </c>
      <c r="E19">
        <v>4011970</v>
      </c>
      <c r="F19" t="s">
        <v>104</v>
      </c>
      <c r="G19" s="1">
        <v>36500</v>
      </c>
      <c r="H19" t="s">
        <v>81</v>
      </c>
      <c r="I19">
        <v>1999</v>
      </c>
      <c r="J19" s="2">
        <v>0.32291666666666669</v>
      </c>
      <c r="K19" t="s">
        <v>82</v>
      </c>
      <c r="L19" t="s">
        <v>104</v>
      </c>
      <c r="M19" t="s">
        <v>105</v>
      </c>
      <c r="N19" s="4">
        <v>3986639</v>
      </c>
      <c r="O19" t="s">
        <v>56</v>
      </c>
      <c r="P19">
        <v>407</v>
      </c>
      <c r="Q19">
        <v>0</v>
      </c>
      <c r="R19">
        <v>5</v>
      </c>
      <c r="S19">
        <v>5</v>
      </c>
      <c r="T19" t="s">
        <v>57</v>
      </c>
      <c r="U19">
        <v>13</v>
      </c>
      <c r="V19" t="s">
        <v>58</v>
      </c>
      <c r="W19" t="s">
        <v>106</v>
      </c>
      <c r="X19" t="s">
        <v>60</v>
      </c>
      <c r="Y19">
        <v>0</v>
      </c>
      <c r="AG19">
        <v>239</v>
      </c>
      <c r="AH19">
        <v>3</v>
      </c>
      <c r="AI19">
        <v>12</v>
      </c>
      <c r="AJ19">
        <v>0</v>
      </c>
      <c r="AK19">
        <v>153</v>
      </c>
      <c r="AN19">
        <v>0</v>
      </c>
      <c r="AO19" t="s">
        <v>107</v>
      </c>
      <c r="AP19" t="s">
        <v>108</v>
      </c>
      <c r="AQ19">
        <v>35.795555999999998</v>
      </c>
      <c r="AR19">
        <v>-95.241921000000005</v>
      </c>
      <c r="AS19">
        <v>25.4</v>
      </c>
      <c r="AT19">
        <v>6</v>
      </c>
      <c r="AU19">
        <v>8</v>
      </c>
      <c r="AV19">
        <v>146</v>
      </c>
      <c r="AW19" t="s">
        <v>109</v>
      </c>
      <c r="AX19">
        <v>40</v>
      </c>
      <c r="AY19">
        <v>40101</v>
      </c>
      <c r="AZ19">
        <v>32</v>
      </c>
    </row>
    <row r="20" spans="1:52" x14ac:dyDescent="0.3">
      <c r="A20">
        <v>25</v>
      </c>
      <c r="B20">
        <v>61623002020</v>
      </c>
      <c r="C20" t="s">
        <v>218</v>
      </c>
      <c r="D20" t="str">
        <f>IF(ISNUMBER(SEARCH("High",C20)), "High School","")</f>
        <v>High School</v>
      </c>
      <c r="E20">
        <v>616230</v>
      </c>
      <c r="F20" t="s">
        <v>210</v>
      </c>
      <c r="G20" s="1">
        <v>36972</v>
      </c>
      <c r="H20" t="s">
        <v>178</v>
      </c>
      <c r="I20">
        <v>2001</v>
      </c>
      <c r="J20" s="2">
        <v>0.54166666666666663</v>
      </c>
      <c r="K20" t="s">
        <v>67</v>
      </c>
      <c r="L20" t="s">
        <v>219</v>
      </c>
      <c r="M20" t="s">
        <v>121</v>
      </c>
      <c r="N20" s="4">
        <v>39237836</v>
      </c>
      <c r="O20" t="s">
        <v>56</v>
      </c>
      <c r="P20">
        <v>2846</v>
      </c>
      <c r="Q20">
        <v>0</v>
      </c>
      <c r="R20">
        <v>5</v>
      </c>
      <c r="S20">
        <v>5</v>
      </c>
      <c r="T20" t="s">
        <v>220</v>
      </c>
      <c r="U20">
        <v>18</v>
      </c>
      <c r="V20" t="s">
        <v>58</v>
      </c>
      <c r="X20" t="s">
        <v>60</v>
      </c>
      <c r="Y20">
        <v>0</v>
      </c>
      <c r="AG20">
        <v>2256</v>
      </c>
      <c r="AH20">
        <v>67</v>
      </c>
      <c r="AI20">
        <v>376</v>
      </c>
      <c r="AJ20">
        <v>66</v>
      </c>
      <c r="AK20">
        <v>50</v>
      </c>
      <c r="AN20">
        <v>1</v>
      </c>
      <c r="AO20" t="s">
        <v>221</v>
      </c>
      <c r="AQ20">
        <v>32.800100999999998</v>
      </c>
      <c r="AR20">
        <v>-116.916889</v>
      </c>
      <c r="AS20">
        <v>112.2</v>
      </c>
      <c r="AT20">
        <v>9</v>
      </c>
      <c r="AU20">
        <v>12</v>
      </c>
      <c r="AV20">
        <v>436</v>
      </c>
      <c r="AW20" t="s">
        <v>213</v>
      </c>
      <c r="AX20">
        <v>6</v>
      </c>
      <c r="AY20">
        <v>6073</v>
      </c>
      <c r="AZ20">
        <v>21</v>
      </c>
    </row>
    <row r="21" spans="1:52" x14ac:dyDescent="0.3">
      <c r="A21">
        <v>169</v>
      </c>
      <c r="B21" s="3">
        <v>530486000000</v>
      </c>
      <c r="C21" t="s">
        <v>841</v>
      </c>
      <c r="D21" t="str">
        <f>IF(ISNUMBER(SEARCH("High",C21)), "High School","")</f>
        <v>High School</v>
      </c>
      <c r="E21">
        <v>5304860</v>
      </c>
      <c r="F21" t="s">
        <v>842</v>
      </c>
      <c r="G21" s="1">
        <v>41936</v>
      </c>
      <c r="H21" t="s">
        <v>833</v>
      </c>
      <c r="I21">
        <v>2014</v>
      </c>
      <c r="J21" s="2">
        <v>0.44375000000000003</v>
      </c>
      <c r="K21" t="s">
        <v>95</v>
      </c>
      <c r="L21" t="s">
        <v>843</v>
      </c>
      <c r="M21" t="s">
        <v>171</v>
      </c>
      <c r="N21" s="4">
        <v>7738692</v>
      </c>
      <c r="O21" t="s">
        <v>56</v>
      </c>
      <c r="P21">
        <v>1253</v>
      </c>
      <c r="Q21">
        <v>4</v>
      </c>
      <c r="R21">
        <v>1</v>
      </c>
      <c r="S21">
        <v>5</v>
      </c>
      <c r="T21" t="s">
        <v>70</v>
      </c>
      <c r="U21">
        <v>15</v>
      </c>
      <c r="V21" t="s">
        <v>58</v>
      </c>
      <c r="W21" t="s">
        <v>844</v>
      </c>
      <c r="X21" t="s">
        <v>60</v>
      </c>
      <c r="Y21">
        <v>1</v>
      </c>
      <c r="Z21" t="s">
        <v>61</v>
      </c>
      <c r="AG21">
        <v>736</v>
      </c>
      <c r="AH21">
        <v>25</v>
      </c>
      <c r="AI21">
        <v>250</v>
      </c>
      <c r="AJ21">
        <v>46</v>
      </c>
      <c r="AK21">
        <v>77</v>
      </c>
      <c r="AL21">
        <v>1</v>
      </c>
      <c r="AM21">
        <v>118</v>
      </c>
      <c r="AN21">
        <v>1</v>
      </c>
      <c r="AO21" t="s">
        <v>845</v>
      </c>
      <c r="AP21" t="s">
        <v>108</v>
      </c>
      <c r="AQ21">
        <v>48.095820000000003</v>
      </c>
      <c r="AR21">
        <v>-122.154021</v>
      </c>
      <c r="AS21">
        <v>55.3</v>
      </c>
      <c r="AT21">
        <v>9</v>
      </c>
      <c r="AU21">
        <v>12</v>
      </c>
      <c r="AV21">
        <v>532</v>
      </c>
      <c r="AW21" t="s">
        <v>846</v>
      </c>
      <c r="AX21">
        <v>53</v>
      </c>
      <c r="AY21">
        <v>53061</v>
      </c>
      <c r="AZ21">
        <v>22</v>
      </c>
    </row>
    <row r="22" spans="1:52" x14ac:dyDescent="0.3">
      <c r="A22">
        <v>208</v>
      </c>
      <c r="B22">
        <v>62271012483</v>
      </c>
      <c r="C22" t="s">
        <v>1007</v>
      </c>
      <c r="D22" t="str">
        <f>IF(ISNUMBER(SEARCH("Middle",C22)), "Middle School","")</f>
        <v>Middle School</v>
      </c>
      <c r="E22">
        <v>622710</v>
      </c>
      <c r="F22" t="s">
        <v>240</v>
      </c>
      <c r="G22" s="1">
        <v>43132</v>
      </c>
      <c r="H22" t="s">
        <v>965</v>
      </c>
      <c r="I22">
        <v>2018</v>
      </c>
      <c r="J22" s="2">
        <v>0.375</v>
      </c>
      <c r="K22" t="s">
        <v>67</v>
      </c>
      <c r="L22" t="s">
        <v>241</v>
      </c>
      <c r="M22" t="s">
        <v>121</v>
      </c>
      <c r="N22" s="4">
        <v>39237836</v>
      </c>
      <c r="O22" t="s">
        <v>56</v>
      </c>
      <c r="P22">
        <v>345</v>
      </c>
      <c r="Q22">
        <v>0</v>
      </c>
      <c r="R22">
        <v>5</v>
      </c>
      <c r="S22">
        <v>5</v>
      </c>
      <c r="T22" t="s">
        <v>114</v>
      </c>
      <c r="U22">
        <v>12</v>
      </c>
      <c r="V22" t="s">
        <v>152</v>
      </c>
      <c r="X22" t="s">
        <v>60</v>
      </c>
      <c r="Y22">
        <v>0</v>
      </c>
      <c r="AG22">
        <v>2</v>
      </c>
      <c r="AH22">
        <v>8</v>
      </c>
      <c r="AI22">
        <v>311</v>
      </c>
      <c r="AJ22">
        <v>21</v>
      </c>
      <c r="AK22">
        <v>0</v>
      </c>
      <c r="AL22">
        <v>0</v>
      </c>
      <c r="AM22">
        <v>3</v>
      </c>
      <c r="AN22">
        <v>0</v>
      </c>
      <c r="AO22" t="s">
        <v>1008</v>
      </c>
      <c r="AQ22">
        <v>34.061689999999999</v>
      </c>
      <c r="AR22">
        <v>-118.265</v>
      </c>
      <c r="AS22">
        <v>15.83</v>
      </c>
      <c r="AT22">
        <v>6</v>
      </c>
      <c r="AU22">
        <v>8</v>
      </c>
      <c r="AV22">
        <v>309</v>
      </c>
      <c r="AW22" t="s">
        <v>243</v>
      </c>
      <c r="AX22">
        <v>6</v>
      </c>
      <c r="AY22">
        <v>6037</v>
      </c>
      <c r="AZ22">
        <v>11</v>
      </c>
    </row>
    <row r="23" spans="1:52" x14ac:dyDescent="0.3">
      <c r="A23">
        <v>248</v>
      </c>
      <c r="B23">
        <v>64251006961</v>
      </c>
      <c r="C23" t="s">
        <v>1155</v>
      </c>
      <c r="D23" t="str">
        <f>IF(ISNUMBER(SEARCH("High",C23)), "High School","")</f>
        <v>High School</v>
      </c>
      <c r="E23">
        <v>642510</v>
      </c>
      <c r="F23" t="s">
        <v>1156</v>
      </c>
      <c r="G23" s="1">
        <v>43783</v>
      </c>
      <c r="H23" t="s">
        <v>1141</v>
      </c>
      <c r="I23">
        <v>2019</v>
      </c>
      <c r="J23" s="2">
        <v>0.31805555555555554</v>
      </c>
      <c r="K23" t="s">
        <v>67</v>
      </c>
      <c r="L23" t="s">
        <v>1157</v>
      </c>
      <c r="M23" t="s">
        <v>121</v>
      </c>
      <c r="N23" s="4">
        <v>39237836</v>
      </c>
      <c r="O23" t="s">
        <v>56</v>
      </c>
      <c r="P23">
        <v>2441</v>
      </c>
      <c r="Q23">
        <v>2</v>
      </c>
      <c r="R23">
        <v>3</v>
      </c>
      <c r="S23">
        <v>5</v>
      </c>
      <c r="T23" t="s">
        <v>57</v>
      </c>
      <c r="U23">
        <v>16</v>
      </c>
      <c r="V23" t="s">
        <v>58</v>
      </c>
      <c r="X23" t="s">
        <v>60</v>
      </c>
      <c r="Y23">
        <v>1</v>
      </c>
      <c r="Z23" t="s">
        <v>61</v>
      </c>
      <c r="AG23">
        <v>1294</v>
      </c>
      <c r="AH23">
        <v>47</v>
      </c>
      <c r="AI23">
        <v>772</v>
      </c>
      <c r="AJ23">
        <v>176</v>
      </c>
      <c r="AK23">
        <v>3</v>
      </c>
      <c r="AL23">
        <v>1</v>
      </c>
      <c r="AM23">
        <v>148</v>
      </c>
      <c r="AN23">
        <v>0</v>
      </c>
      <c r="AO23" t="s">
        <v>1158</v>
      </c>
      <c r="AP23" t="s">
        <v>1159</v>
      </c>
      <c r="AQ23">
        <v>34.441924</v>
      </c>
      <c r="AR23">
        <v>-118.518128</v>
      </c>
      <c r="AS23">
        <v>93.98</v>
      </c>
      <c r="AT23">
        <v>9</v>
      </c>
      <c r="AU23">
        <v>12</v>
      </c>
      <c r="AV23">
        <v>406</v>
      </c>
      <c r="AW23" t="s">
        <v>243</v>
      </c>
      <c r="AX23">
        <v>6</v>
      </c>
      <c r="AY23">
        <v>6037</v>
      </c>
      <c r="AZ23">
        <v>21</v>
      </c>
    </row>
    <row r="24" spans="1:52" x14ac:dyDescent="0.3">
      <c r="A24">
        <v>41</v>
      </c>
      <c r="B24" s="3">
        <v>220117000000</v>
      </c>
      <c r="C24" t="s">
        <v>297</v>
      </c>
      <c r="D24" t="str">
        <f>IF(ISNUMBER(SEARCH("High",C24)), "High School","")</f>
        <v>High School</v>
      </c>
      <c r="E24">
        <v>2201170</v>
      </c>
      <c r="F24" t="s">
        <v>185</v>
      </c>
      <c r="G24" s="1">
        <v>37725</v>
      </c>
      <c r="H24" t="s">
        <v>270</v>
      </c>
      <c r="I24">
        <v>2003</v>
      </c>
      <c r="J24" s="2">
        <v>0.4375</v>
      </c>
      <c r="K24" t="s">
        <v>82</v>
      </c>
      <c r="L24" t="s">
        <v>186</v>
      </c>
      <c r="M24" t="s">
        <v>69</v>
      </c>
      <c r="N24" s="4">
        <v>4624047</v>
      </c>
      <c r="O24" t="s">
        <v>56</v>
      </c>
      <c r="P24">
        <v>1260</v>
      </c>
      <c r="Q24">
        <v>1</v>
      </c>
      <c r="R24">
        <v>3</v>
      </c>
      <c r="S24">
        <v>4</v>
      </c>
      <c r="T24" t="s">
        <v>70</v>
      </c>
      <c r="U24">
        <v>19</v>
      </c>
      <c r="V24" t="s">
        <v>58</v>
      </c>
      <c r="X24" t="s">
        <v>199</v>
      </c>
      <c r="Y24">
        <v>0</v>
      </c>
      <c r="AA24">
        <v>17</v>
      </c>
      <c r="AB24" t="s">
        <v>58</v>
      </c>
      <c r="AD24" t="s">
        <v>199</v>
      </c>
      <c r="AG24">
        <v>10</v>
      </c>
      <c r="AH24">
        <v>1241</v>
      </c>
      <c r="AI24">
        <v>9</v>
      </c>
      <c r="AJ24">
        <v>0</v>
      </c>
      <c r="AK24">
        <v>0</v>
      </c>
      <c r="AN24">
        <v>1</v>
      </c>
      <c r="AO24" t="s">
        <v>298</v>
      </c>
      <c r="AQ24">
        <v>29.974421</v>
      </c>
      <c r="AR24">
        <v>-90.075733</v>
      </c>
      <c r="AS24">
        <v>63</v>
      </c>
      <c r="AT24">
        <v>8</v>
      </c>
      <c r="AU24">
        <v>12</v>
      </c>
      <c r="AV24">
        <v>843</v>
      </c>
      <c r="AW24" t="s">
        <v>188</v>
      </c>
      <c r="AX24">
        <v>22</v>
      </c>
      <c r="AY24">
        <v>22071</v>
      </c>
      <c r="AZ24">
        <v>11</v>
      </c>
    </row>
    <row r="25" spans="1:52" x14ac:dyDescent="0.3">
      <c r="A25">
        <v>94</v>
      </c>
      <c r="B25" s="3">
        <v>390438000000</v>
      </c>
      <c r="C25" t="s">
        <v>532</v>
      </c>
      <c r="D25" t="s">
        <v>1539</v>
      </c>
      <c r="E25">
        <v>3904378</v>
      </c>
      <c r="F25" t="s">
        <v>533</v>
      </c>
      <c r="G25" s="1">
        <v>39365</v>
      </c>
      <c r="H25" t="s">
        <v>534</v>
      </c>
      <c r="I25">
        <v>2007</v>
      </c>
      <c r="J25" s="2">
        <v>0.55208333333333337</v>
      </c>
      <c r="K25" t="s">
        <v>90</v>
      </c>
      <c r="L25" t="s">
        <v>535</v>
      </c>
      <c r="M25" t="s">
        <v>180</v>
      </c>
      <c r="N25" s="4">
        <v>11780017</v>
      </c>
      <c r="O25" t="s">
        <v>56</v>
      </c>
      <c r="P25">
        <v>260</v>
      </c>
      <c r="Q25">
        <v>0</v>
      </c>
      <c r="R25">
        <v>4</v>
      </c>
      <c r="S25">
        <v>4</v>
      </c>
      <c r="T25" t="s">
        <v>57</v>
      </c>
      <c r="U25">
        <v>14</v>
      </c>
      <c r="V25" t="s">
        <v>58</v>
      </c>
      <c r="X25" t="s">
        <v>60</v>
      </c>
      <c r="Y25">
        <v>1</v>
      </c>
      <c r="Z25" t="s">
        <v>61</v>
      </c>
      <c r="AG25">
        <v>22</v>
      </c>
      <c r="AH25">
        <v>227</v>
      </c>
      <c r="AI25">
        <v>9</v>
      </c>
      <c r="AJ25">
        <v>0</v>
      </c>
      <c r="AK25">
        <v>1</v>
      </c>
      <c r="AN25">
        <v>1</v>
      </c>
      <c r="AO25" t="s">
        <v>536</v>
      </c>
      <c r="AQ25">
        <v>41.507620000000003</v>
      </c>
      <c r="AR25">
        <v>-81.686899999999994</v>
      </c>
      <c r="AS25">
        <v>14</v>
      </c>
      <c r="AT25">
        <v>9</v>
      </c>
      <c r="AU25">
        <v>12</v>
      </c>
      <c r="AW25" t="s">
        <v>537</v>
      </c>
      <c r="AX25">
        <v>39</v>
      </c>
      <c r="AY25">
        <v>39035</v>
      </c>
      <c r="AZ25">
        <v>11</v>
      </c>
    </row>
    <row r="26" spans="1:52" x14ac:dyDescent="0.3">
      <c r="A26">
        <v>180</v>
      </c>
      <c r="B26" s="3">
        <v>390461000000</v>
      </c>
      <c r="C26" t="s">
        <v>893</v>
      </c>
      <c r="D26" t="str">
        <f>IF(ISNUMBER(SEARCH("High",C26)), "High School","")</f>
        <v>High School</v>
      </c>
      <c r="E26">
        <v>3904612</v>
      </c>
      <c r="F26" t="s">
        <v>894</v>
      </c>
      <c r="G26" s="1">
        <v>42429</v>
      </c>
      <c r="H26" t="s">
        <v>858</v>
      </c>
      <c r="I26">
        <v>2016</v>
      </c>
      <c r="J26" s="2">
        <v>0.46875</v>
      </c>
      <c r="K26" t="s">
        <v>82</v>
      </c>
      <c r="L26" t="s">
        <v>895</v>
      </c>
      <c r="M26" t="s">
        <v>180</v>
      </c>
      <c r="N26" s="4">
        <v>11780017</v>
      </c>
      <c r="O26" t="s">
        <v>56</v>
      </c>
      <c r="P26">
        <v>1543</v>
      </c>
      <c r="Q26">
        <v>0</v>
      </c>
      <c r="R26">
        <v>4</v>
      </c>
      <c r="S26">
        <v>4</v>
      </c>
      <c r="T26" t="s">
        <v>57</v>
      </c>
      <c r="U26">
        <v>14</v>
      </c>
      <c r="V26" t="s">
        <v>58</v>
      </c>
      <c r="W26" t="s">
        <v>59</v>
      </c>
      <c r="X26" t="s">
        <v>60</v>
      </c>
      <c r="Y26">
        <v>0</v>
      </c>
      <c r="AG26">
        <v>1495</v>
      </c>
      <c r="AH26">
        <v>9</v>
      </c>
      <c r="AI26">
        <v>13</v>
      </c>
      <c r="AJ26">
        <v>2</v>
      </c>
      <c r="AK26">
        <v>0</v>
      </c>
      <c r="AL26">
        <v>3</v>
      </c>
      <c r="AM26">
        <v>21</v>
      </c>
      <c r="AN26">
        <v>1</v>
      </c>
      <c r="AO26" t="s">
        <v>896</v>
      </c>
      <c r="AP26" t="s">
        <v>897</v>
      </c>
      <c r="AQ26">
        <v>39.533850000000001</v>
      </c>
      <c r="AR26">
        <v>-84.443299999999994</v>
      </c>
      <c r="AS26">
        <v>33.5</v>
      </c>
      <c r="AT26">
        <v>9</v>
      </c>
      <c r="AU26">
        <v>12</v>
      </c>
      <c r="AV26">
        <v>248</v>
      </c>
      <c r="AW26" t="s">
        <v>898</v>
      </c>
      <c r="AX26">
        <v>39</v>
      </c>
      <c r="AY26">
        <v>39017</v>
      </c>
      <c r="AZ26">
        <v>41</v>
      </c>
    </row>
    <row r="27" spans="1:52" x14ac:dyDescent="0.3">
      <c r="A27">
        <v>186</v>
      </c>
      <c r="B27">
        <v>63441011252</v>
      </c>
      <c r="C27" t="s">
        <v>920</v>
      </c>
      <c r="D27" t="str">
        <f>IF(ISNUMBER(SEARCH("High",C27)), "High School","")</f>
        <v>High School</v>
      </c>
      <c r="E27">
        <v>634410</v>
      </c>
      <c r="F27" t="s">
        <v>921</v>
      </c>
      <c r="G27" s="1">
        <v>42661</v>
      </c>
      <c r="H27" t="s">
        <v>905</v>
      </c>
      <c r="I27">
        <v>2016</v>
      </c>
      <c r="J27" s="2">
        <v>0.63888888888888895</v>
      </c>
      <c r="K27" t="s">
        <v>53</v>
      </c>
      <c r="L27" t="s">
        <v>922</v>
      </c>
      <c r="M27" t="s">
        <v>121</v>
      </c>
      <c r="N27" s="4">
        <v>39237836</v>
      </c>
      <c r="O27" t="s">
        <v>56</v>
      </c>
      <c r="P27">
        <v>258</v>
      </c>
      <c r="Q27">
        <v>0</v>
      </c>
      <c r="R27">
        <v>4</v>
      </c>
      <c r="S27">
        <v>4</v>
      </c>
      <c r="T27" t="s">
        <v>70</v>
      </c>
      <c r="V27" t="s">
        <v>58</v>
      </c>
      <c r="Y27">
        <v>0</v>
      </c>
      <c r="AG27">
        <v>8</v>
      </c>
      <c r="AH27">
        <v>48</v>
      </c>
      <c r="AI27">
        <v>157</v>
      </c>
      <c r="AJ27">
        <v>28</v>
      </c>
      <c r="AK27">
        <v>1</v>
      </c>
      <c r="AL27">
        <v>5</v>
      </c>
      <c r="AM27">
        <v>11</v>
      </c>
      <c r="AN27">
        <v>0</v>
      </c>
      <c r="AO27" t="s">
        <v>923</v>
      </c>
      <c r="AQ27">
        <v>37.719557999999999</v>
      </c>
      <c r="AR27">
        <v>-122.425241</v>
      </c>
      <c r="AS27">
        <v>23.72</v>
      </c>
      <c r="AT27">
        <v>9</v>
      </c>
      <c r="AU27">
        <v>12</v>
      </c>
      <c r="AV27">
        <v>198</v>
      </c>
      <c r="AW27" t="s">
        <v>924</v>
      </c>
      <c r="AX27">
        <v>6</v>
      </c>
      <c r="AY27">
        <v>6075</v>
      </c>
      <c r="AZ27">
        <v>11</v>
      </c>
    </row>
    <row r="28" spans="1:52" x14ac:dyDescent="0.3">
      <c r="A28">
        <v>197</v>
      </c>
      <c r="B28" s="3">
        <v>530297000000</v>
      </c>
      <c r="C28" t="s">
        <v>966</v>
      </c>
      <c r="D28" t="str">
        <f>IF(ISNUMBER(SEARCH("High",C28)), "High School","")</f>
        <v>High School</v>
      </c>
      <c r="E28">
        <v>5302970</v>
      </c>
      <c r="F28" t="s">
        <v>967</v>
      </c>
      <c r="G28" s="1">
        <v>42991</v>
      </c>
      <c r="H28" t="s">
        <v>965</v>
      </c>
      <c r="I28">
        <v>2017</v>
      </c>
      <c r="J28" s="2">
        <v>0.41666666666666669</v>
      </c>
      <c r="K28" t="s">
        <v>90</v>
      </c>
      <c r="L28" t="s">
        <v>968</v>
      </c>
      <c r="M28" t="s">
        <v>171</v>
      </c>
      <c r="N28" s="4">
        <v>7738692</v>
      </c>
      <c r="O28" t="s">
        <v>56</v>
      </c>
      <c r="P28">
        <v>330</v>
      </c>
      <c r="Q28">
        <v>1</v>
      </c>
      <c r="R28">
        <v>3</v>
      </c>
      <c r="S28">
        <v>4</v>
      </c>
      <c r="T28" t="s">
        <v>57</v>
      </c>
      <c r="U28">
        <v>15</v>
      </c>
      <c r="V28" t="s">
        <v>58</v>
      </c>
      <c r="W28" t="s">
        <v>59</v>
      </c>
      <c r="X28" t="s">
        <v>60</v>
      </c>
      <c r="Y28">
        <v>0</v>
      </c>
      <c r="AG28">
        <v>282</v>
      </c>
      <c r="AH28">
        <v>7</v>
      </c>
      <c r="AI28">
        <v>23</v>
      </c>
      <c r="AJ28">
        <v>5</v>
      </c>
      <c r="AK28">
        <v>4</v>
      </c>
      <c r="AL28">
        <v>0</v>
      </c>
      <c r="AM28">
        <v>9</v>
      </c>
      <c r="AN28">
        <v>1</v>
      </c>
      <c r="AO28" t="s">
        <v>969</v>
      </c>
      <c r="AP28" t="s">
        <v>108</v>
      </c>
      <c r="AQ28">
        <v>47.519666999999998</v>
      </c>
      <c r="AR28">
        <v>-117.19638</v>
      </c>
      <c r="AS28">
        <v>16.61</v>
      </c>
      <c r="AT28">
        <v>9</v>
      </c>
      <c r="AU28">
        <v>12</v>
      </c>
      <c r="AV28">
        <v>69</v>
      </c>
      <c r="AW28" t="s">
        <v>317</v>
      </c>
      <c r="AX28">
        <v>53</v>
      </c>
      <c r="AY28">
        <v>53063</v>
      </c>
      <c r="AZ28">
        <v>42</v>
      </c>
    </row>
    <row r="29" spans="1:52" x14ac:dyDescent="0.3">
      <c r="A29">
        <v>297</v>
      </c>
      <c r="B29" s="3">
        <v>482892000000</v>
      </c>
      <c r="C29" t="s">
        <v>1275</v>
      </c>
      <c r="D29" t="str">
        <f>IF(ISNUMBER(SEARCH("High",C29)), "High School","")</f>
        <v>High School</v>
      </c>
      <c r="E29">
        <v>4828920</v>
      </c>
      <c r="F29" t="s">
        <v>1276</v>
      </c>
      <c r="G29" s="1">
        <v>44475</v>
      </c>
      <c r="H29" t="s">
        <v>1243</v>
      </c>
      <c r="I29">
        <v>2021</v>
      </c>
      <c r="J29" s="2">
        <v>0.38541666666666669</v>
      </c>
      <c r="K29" t="s">
        <v>90</v>
      </c>
      <c r="L29" t="s">
        <v>1277</v>
      </c>
      <c r="M29" t="s">
        <v>205</v>
      </c>
      <c r="N29" s="4">
        <v>29527941</v>
      </c>
      <c r="O29" t="s">
        <v>56</v>
      </c>
      <c r="P29">
        <v>1900</v>
      </c>
      <c r="Q29">
        <v>0</v>
      </c>
      <c r="R29">
        <v>4</v>
      </c>
      <c r="S29">
        <v>4</v>
      </c>
      <c r="T29" t="s">
        <v>70</v>
      </c>
      <c r="U29">
        <v>18</v>
      </c>
      <c r="V29" t="s">
        <v>58</v>
      </c>
      <c r="W29" t="s">
        <v>146</v>
      </c>
      <c r="X29" t="s">
        <v>60</v>
      </c>
      <c r="AG29">
        <v>44</v>
      </c>
      <c r="AH29">
        <v>69</v>
      </c>
      <c r="AI29">
        <v>74</v>
      </c>
      <c r="AJ29">
        <v>21</v>
      </c>
      <c r="AK29">
        <v>0</v>
      </c>
      <c r="AL29">
        <v>1</v>
      </c>
      <c r="AM29">
        <v>11</v>
      </c>
      <c r="AN29">
        <v>0</v>
      </c>
      <c r="AO29" t="s">
        <v>136</v>
      </c>
      <c r="AQ29">
        <v>32.622073</v>
      </c>
      <c r="AR29">
        <v>-97.076320999999993</v>
      </c>
      <c r="AS29">
        <v>11.22</v>
      </c>
      <c r="AT29">
        <v>9</v>
      </c>
      <c r="AU29">
        <v>11</v>
      </c>
      <c r="AV29">
        <v>120</v>
      </c>
      <c r="AW29" t="s">
        <v>480</v>
      </c>
      <c r="AX29">
        <v>48</v>
      </c>
      <c r="AY29">
        <v>48439</v>
      </c>
      <c r="AZ29">
        <v>11</v>
      </c>
    </row>
    <row r="30" spans="1:52" x14ac:dyDescent="0.3">
      <c r="A30">
        <v>340</v>
      </c>
      <c r="B30">
        <v>253426</v>
      </c>
      <c r="C30" t="s">
        <v>1392</v>
      </c>
      <c r="D30" t="s">
        <v>1542</v>
      </c>
      <c r="G30" s="1">
        <v>44673</v>
      </c>
      <c r="H30" t="s">
        <v>1243</v>
      </c>
      <c r="I30">
        <v>2022</v>
      </c>
      <c r="J30" s="2">
        <v>0.63750000000000007</v>
      </c>
      <c r="K30" t="s">
        <v>95</v>
      </c>
      <c r="L30" t="s">
        <v>171</v>
      </c>
      <c r="M30" t="s">
        <v>296</v>
      </c>
      <c r="N30" s="4">
        <v>670050</v>
      </c>
      <c r="O30" t="s">
        <v>216</v>
      </c>
      <c r="P30">
        <v>300</v>
      </c>
      <c r="Q30">
        <v>0</v>
      </c>
      <c r="R30">
        <v>4</v>
      </c>
      <c r="S30">
        <v>4</v>
      </c>
      <c r="T30" t="s">
        <v>57</v>
      </c>
      <c r="U30">
        <v>23</v>
      </c>
      <c r="V30" t="s">
        <v>58</v>
      </c>
      <c r="Y30">
        <v>1</v>
      </c>
      <c r="AN30">
        <v>0</v>
      </c>
      <c r="AO30" t="s">
        <v>1393</v>
      </c>
      <c r="AQ30">
        <v>38.943040979999999</v>
      </c>
      <c r="AR30">
        <v>-77.062092930000006</v>
      </c>
      <c r="AW30" t="s">
        <v>296</v>
      </c>
      <c r="AX30">
        <v>11</v>
      </c>
      <c r="AY30">
        <v>11001</v>
      </c>
      <c r="AZ30">
        <v>11</v>
      </c>
    </row>
    <row r="31" spans="1:52" x14ac:dyDescent="0.3">
      <c r="A31">
        <v>376</v>
      </c>
      <c r="B31" s="3">
        <v>421917000000</v>
      </c>
      <c r="C31" t="s">
        <v>1502</v>
      </c>
      <c r="D31" t="s">
        <v>1542</v>
      </c>
      <c r="E31">
        <v>4219170</v>
      </c>
      <c r="F31" t="s">
        <v>1325</v>
      </c>
      <c r="G31" s="1">
        <v>44971</v>
      </c>
      <c r="H31" t="s">
        <v>1417</v>
      </c>
      <c r="I31">
        <v>2023</v>
      </c>
      <c r="K31" t="s">
        <v>53</v>
      </c>
      <c r="L31" t="s">
        <v>453</v>
      </c>
      <c r="M31" t="s">
        <v>84</v>
      </c>
      <c r="N31" s="4">
        <v>12964056</v>
      </c>
      <c r="O31" t="s">
        <v>56</v>
      </c>
      <c r="P31">
        <v>679</v>
      </c>
      <c r="Q31">
        <v>0</v>
      </c>
      <c r="R31">
        <v>4</v>
      </c>
      <c r="S31">
        <v>4</v>
      </c>
      <c r="T31" t="s">
        <v>792</v>
      </c>
      <c r="AG31">
        <v>11</v>
      </c>
      <c r="AH31">
        <v>627</v>
      </c>
      <c r="AI31">
        <v>10</v>
      </c>
      <c r="AJ31">
        <v>1</v>
      </c>
      <c r="AK31">
        <v>3</v>
      </c>
      <c r="AL31">
        <v>0</v>
      </c>
      <c r="AM31">
        <v>27</v>
      </c>
      <c r="AN31">
        <v>0</v>
      </c>
      <c r="AQ31">
        <v>40.460900000000002</v>
      </c>
      <c r="AR31">
        <v>-79.901200000000003</v>
      </c>
      <c r="AS31">
        <v>63.7</v>
      </c>
      <c r="AT31">
        <v>6</v>
      </c>
      <c r="AU31">
        <v>12</v>
      </c>
      <c r="AV31">
        <v>676</v>
      </c>
      <c r="AW31" t="s">
        <v>455</v>
      </c>
      <c r="AX31">
        <v>42</v>
      </c>
      <c r="AY31">
        <v>42003</v>
      </c>
      <c r="AZ31">
        <v>11</v>
      </c>
    </row>
    <row r="32" spans="1:52" x14ac:dyDescent="0.3">
      <c r="A32">
        <v>69</v>
      </c>
      <c r="B32" s="3">
        <v>470042000000</v>
      </c>
      <c r="C32" t="s">
        <v>418</v>
      </c>
      <c r="D32" t="str">
        <f>IF(ISNUMBER(SEARCH("High",C32)), "High School","")</f>
        <v>High School</v>
      </c>
      <c r="E32">
        <v>4700420</v>
      </c>
      <c r="F32" t="s">
        <v>419</v>
      </c>
      <c r="G32" s="1">
        <v>38664</v>
      </c>
      <c r="H32" t="s">
        <v>398</v>
      </c>
      <c r="I32">
        <v>2005</v>
      </c>
      <c r="J32" s="2">
        <v>0.58333333333333337</v>
      </c>
      <c r="K32" t="s">
        <v>53</v>
      </c>
      <c r="L32" t="s">
        <v>399</v>
      </c>
      <c r="M32" t="s">
        <v>377</v>
      </c>
      <c r="N32" s="4">
        <v>6975218</v>
      </c>
      <c r="O32" t="s">
        <v>56</v>
      </c>
      <c r="P32">
        <v>1440</v>
      </c>
      <c r="Q32">
        <v>1</v>
      </c>
      <c r="R32">
        <v>2</v>
      </c>
      <c r="S32">
        <v>3</v>
      </c>
      <c r="T32" t="s">
        <v>220</v>
      </c>
      <c r="U32">
        <v>15</v>
      </c>
      <c r="V32" t="s">
        <v>58</v>
      </c>
      <c r="W32" t="s">
        <v>59</v>
      </c>
      <c r="X32" t="s">
        <v>60</v>
      </c>
      <c r="Y32">
        <v>0</v>
      </c>
      <c r="AG32">
        <v>1429</v>
      </c>
      <c r="AH32">
        <v>0</v>
      </c>
      <c r="AI32">
        <v>6</v>
      </c>
      <c r="AJ32">
        <v>5</v>
      </c>
      <c r="AK32">
        <v>0</v>
      </c>
      <c r="AN32">
        <v>0</v>
      </c>
      <c r="AO32" t="s">
        <v>420</v>
      </c>
      <c r="AQ32">
        <v>36.350859999999997</v>
      </c>
      <c r="AR32">
        <v>-84.148319999999998</v>
      </c>
      <c r="AS32">
        <v>79.400000000000006</v>
      </c>
      <c r="AT32">
        <v>9</v>
      </c>
      <c r="AU32">
        <v>12</v>
      </c>
      <c r="AV32">
        <v>851</v>
      </c>
      <c r="AW32" t="s">
        <v>421</v>
      </c>
      <c r="AX32">
        <v>47</v>
      </c>
      <c r="AY32">
        <v>47013</v>
      </c>
      <c r="AZ32">
        <v>32</v>
      </c>
    </row>
    <row r="33" spans="1:52" x14ac:dyDescent="0.3">
      <c r="A33">
        <v>123</v>
      </c>
      <c r="B33" s="3">
        <v>317374000000</v>
      </c>
      <c r="C33" t="s">
        <v>644</v>
      </c>
      <c r="D33" t="str">
        <f>IF(ISNUMBER(SEARCH("High",C33)), "High School","")</f>
        <v>High School</v>
      </c>
      <c r="E33">
        <v>3173740</v>
      </c>
      <c r="F33" t="s">
        <v>645</v>
      </c>
      <c r="G33" s="1">
        <v>40548</v>
      </c>
      <c r="H33" t="s">
        <v>628</v>
      </c>
      <c r="I33">
        <v>2011</v>
      </c>
      <c r="J33" s="2">
        <v>0.53125</v>
      </c>
      <c r="K33" t="s">
        <v>90</v>
      </c>
      <c r="L33" t="s">
        <v>646</v>
      </c>
      <c r="M33" t="s">
        <v>647</v>
      </c>
      <c r="N33" s="4">
        <v>1963692</v>
      </c>
      <c r="O33" t="s">
        <v>56</v>
      </c>
      <c r="P33">
        <v>2043</v>
      </c>
      <c r="Q33">
        <v>1</v>
      </c>
      <c r="R33">
        <v>2</v>
      </c>
      <c r="S33">
        <v>3</v>
      </c>
      <c r="T33" t="s">
        <v>220</v>
      </c>
      <c r="U33">
        <v>17</v>
      </c>
      <c r="V33" t="s">
        <v>58</v>
      </c>
      <c r="W33" t="s">
        <v>146</v>
      </c>
      <c r="X33" t="s">
        <v>60</v>
      </c>
      <c r="Y33">
        <v>1</v>
      </c>
      <c r="Z33" t="s">
        <v>61</v>
      </c>
      <c r="AG33">
        <v>1668</v>
      </c>
      <c r="AH33">
        <v>79</v>
      </c>
      <c r="AI33">
        <v>186</v>
      </c>
      <c r="AJ33">
        <v>32</v>
      </c>
      <c r="AK33">
        <v>12</v>
      </c>
      <c r="AL33">
        <v>6</v>
      </c>
      <c r="AM33">
        <v>60</v>
      </c>
      <c r="AN33">
        <v>0</v>
      </c>
      <c r="AO33" t="s">
        <v>648</v>
      </c>
      <c r="AP33" t="s">
        <v>108</v>
      </c>
      <c r="AQ33">
        <v>41.203480999999996</v>
      </c>
      <c r="AR33">
        <v>-96.146049000000005</v>
      </c>
      <c r="AS33">
        <v>135.5</v>
      </c>
      <c r="AT33">
        <v>9</v>
      </c>
      <c r="AU33">
        <v>12</v>
      </c>
      <c r="AV33">
        <v>475</v>
      </c>
      <c r="AW33" t="s">
        <v>461</v>
      </c>
      <c r="AX33">
        <v>31</v>
      </c>
      <c r="AY33">
        <v>31055</v>
      </c>
      <c r="AZ33">
        <v>11</v>
      </c>
    </row>
    <row r="34" spans="1:52" x14ac:dyDescent="0.3">
      <c r="A34">
        <v>150</v>
      </c>
      <c r="B34" s="3">
        <v>320048000000</v>
      </c>
      <c r="C34" t="s">
        <v>766</v>
      </c>
      <c r="D34" t="str">
        <f>IF(ISNUMBER(SEARCH("Middle",C34)), "Middle School","")</f>
        <v>Middle School</v>
      </c>
      <c r="E34">
        <v>3200480</v>
      </c>
      <c r="F34" t="s">
        <v>767</v>
      </c>
      <c r="G34" s="1">
        <v>41568</v>
      </c>
      <c r="H34" t="s">
        <v>749</v>
      </c>
      <c r="I34">
        <v>2013</v>
      </c>
      <c r="J34" s="2">
        <v>0.30208333333333331</v>
      </c>
      <c r="K34" t="s">
        <v>82</v>
      </c>
      <c r="L34" t="s">
        <v>768</v>
      </c>
      <c r="M34" t="s">
        <v>465</v>
      </c>
      <c r="N34" s="4">
        <v>3143991</v>
      </c>
      <c r="O34" t="s">
        <v>56</v>
      </c>
      <c r="P34">
        <v>721</v>
      </c>
      <c r="Q34">
        <v>1</v>
      </c>
      <c r="R34">
        <v>2</v>
      </c>
      <c r="S34">
        <v>3</v>
      </c>
      <c r="T34" t="s">
        <v>57</v>
      </c>
      <c r="U34">
        <v>12</v>
      </c>
      <c r="V34" t="s">
        <v>58</v>
      </c>
      <c r="W34" t="s">
        <v>99</v>
      </c>
      <c r="X34" t="s">
        <v>60</v>
      </c>
      <c r="Y34">
        <v>1</v>
      </c>
      <c r="Z34" t="s">
        <v>61</v>
      </c>
      <c r="AG34">
        <v>146</v>
      </c>
      <c r="AH34">
        <v>13</v>
      </c>
      <c r="AI34">
        <v>501</v>
      </c>
      <c r="AJ34">
        <v>26</v>
      </c>
      <c r="AK34">
        <v>4</v>
      </c>
      <c r="AL34">
        <v>9</v>
      </c>
      <c r="AM34">
        <v>22</v>
      </c>
      <c r="AN34">
        <v>0</v>
      </c>
      <c r="AO34" t="s">
        <v>769</v>
      </c>
      <c r="AP34" t="s">
        <v>108</v>
      </c>
      <c r="AQ34">
        <v>39.551699999999997</v>
      </c>
      <c r="AR34">
        <v>-119.7694</v>
      </c>
      <c r="AS34">
        <v>35</v>
      </c>
      <c r="AT34">
        <v>7</v>
      </c>
      <c r="AU34">
        <v>8</v>
      </c>
      <c r="AV34">
        <v>538</v>
      </c>
      <c r="AW34" t="s">
        <v>467</v>
      </c>
      <c r="AX34">
        <v>32</v>
      </c>
      <c r="AY34">
        <v>32031</v>
      </c>
      <c r="AZ34">
        <v>21</v>
      </c>
    </row>
    <row r="35" spans="1:52" x14ac:dyDescent="0.3">
      <c r="A35">
        <v>151</v>
      </c>
      <c r="B35">
        <v>60846000845</v>
      </c>
      <c r="C35" t="s">
        <v>770</v>
      </c>
      <c r="D35" t="str">
        <f>IF(ISNUMBER(SEARCH("Elementary",C35)), "Elementary School","")</f>
        <v>Elementary School</v>
      </c>
      <c r="E35">
        <v>608460</v>
      </c>
      <c r="F35" t="s">
        <v>771</v>
      </c>
      <c r="G35" s="1">
        <v>41570</v>
      </c>
      <c r="H35" t="s">
        <v>749</v>
      </c>
      <c r="I35">
        <v>2013</v>
      </c>
      <c r="J35" s="2">
        <v>0.4680555555555555</v>
      </c>
      <c r="K35" t="s">
        <v>90</v>
      </c>
      <c r="L35" t="s">
        <v>772</v>
      </c>
      <c r="M35" t="s">
        <v>121</v>
      </c>
      <c r="N35" s="4">
        <v>39237836</v>
      </c>
      <c r="O35" t="s">
        <v>56</v>
      </c>
      <c r="P35">
        <v>745</v>
      </c>
      <c r="Q35">
        <v>0</v>
      </c>
      <c r="R35">
        <v>3</v>
      </c>
      <c r="S35">
        <v>3</v>
      </c>
      <c r="T35" t="s">
        <v>114</v>
      </c>
      <c r="U35">
        <v>8</v>
      </c>
      <c r="V35" t="s">
        <v>58</v>
      </c>
      <c r="X35" t="s">
        <v>60</v>
      </c>
      <c r="Y35">
        <v>0</v>
      </c>
      <c r="AG35">
        <v>75</v>
      </c>
      <c r="AH35">
        <v>17</v>
      </c>
      <c r="AI35">
        <v>627</v>
      </c>
      <c r="AJ35">
        <v>21</v>
      </c>
      <c r="AK35">
        <v>0</v>
      </c>
      <c r="AL35">
        <v>0</v>
      </c>
      <c r="AM35">
        <v>5</v>
      </c>
      <c r="AN35">
        <v>1</v>
      </c>
      <c r="AO35" t="s">
        <v>773</v>
      </c>
      <c r="AP35" t="s">
        <v>774</v>
      </c>
      <c r="AQ35">
        <v>34.027099999999997</v>
      </c>
      <c r="AR35">
        <v>-117.7144</v>
      </c>
      <c r="AS35">
        <v>25.5</v>
      </c>
      <c r="AT35" t="s">
        <v>124</v>
      </c>
      <c r="AU35">
        <v>6</v>
      </c>
      <c r="AV35">
        <v>543</v>
      </c>
      <c r="AW35" t="s">
        <v>775</v>
      </c>
      <c r="AX35">
        <v>6</v>
      </c>
      <c r="AY35">
        <v>6071</v>
      </c>
      <c r="AZ35">
        <v>13</v>
      </c>
    </row>
    <row r="36" spans="1:52" x14ac:dyDescent="0.3">
      <c r="A36">
        <v>155</v>
      </c>
      <c r="B36" s="3">
        <v>350225000000</v>
      </c>
      <c r="C36" t="s">
        <v>785</v>
      </c>
      <c r="D36" t="str">
        <f>IF(ISNUMBER(SEARCH("Middle",C36)), "Middle School","")</f>
        <v>Middle School</v>
      </c>
      <c r="E36">
        <v>3502250</v>
      </c>
      <c r="F36" t="s">
        <v>786</v>
      </c>
      <c r="G36" s="1">
        <v>41653</v>
      </c>
      <c r="H36" t="s">
        <v>749</v>
      </c>
      <c r="I36">
        <v>2014</v>
      </c>
      <c r="J36" s="2">
        <v>0.3125</v>
      </c>
      <c r="K36" t="s">
        <v>53</v>
      </c>
      <c r="L36" t="s">
        <v>787</v>
      </c>
      <c r="M36" t="s">
        <v>97</v>
      </c>
      <c r="N36" s="4">
        <v>2115877</v>
      </c>
      <c r="O36" t="s">
        <v>56</v>
      </c>
      <c r="P36">
        <v>632</v>
      </c>
      <c r="Q36">
        <v>0</v>
      </c>
      <c r="R36">
        <v>3</v>
      </c>
      <c r="S36">
        <v>3</v>
      </c>
      <c r="T36" t="s">
        <v>70</v>
      </c>
      <c r="U36">
        <v>12</v>
      </c>
      <c r="V36" t="s">
        <v>58</v>
      </c>
      <c r="W36" t="s">
        <v>59</v>
      </c>
      <c r="X36" t="s">
        <v>60</v>
      </c>
      <c r="Y36">
        <v>0</v>
      </c>
      <c r="AG36">
        <v>311</v>
      </c>
      <c r="AH36">
        <v>6</v>
      </c>
      <c r="AI36">
        <v>302</v>
      </c>
      <c r="AJ36">
        <v>9</v>
      </c>
      <c r="AK36">
        <v>1</v>
      </c>
      <c r="AL36">
        <v>2</v>
      </c>
      <c r="AM36">
        <v>1</v>
      </c>
      <c r="AN36">
        <v>1</v>
      </c>
      <c r="AO36" t="s">
        <v>579</v>
      </c>
      <c r="AQ36">
        <v>33.473599999999998</v>
      </c>
      <c r="AR36">
        <v>-104.5115</v>
      </c>
      <c r="AS36">
        <v>36.5</v>
      </c>
      <c r="AT36">
        <v>6</v>
      </c>
      <c r="AU36">
        <v>8</v>
      </c>
      <c r="AV36">
        <v>365</v>
      </c>
      <c r="AW36" t="s">
        <v>788</v>
      </c>
      <c r="AX36">
        <v>35</v>
      </c>
      <c r="AY36">
        <v>35005</v>
      </c>
      <c r="AZ36">
        <v>41</v>
      </c>
    </row>
    <row r="37" spans="1:52" x14ac:dyDescent="0.3">
      <c r="A37">
        <v>183</v>
      </c>
      <c r="B37" s="3">
        <v>450087000000</v>
      </c>
      <c r="C37" t="s">
        <v>909</v>
      </c>
      <c r="D37" t="str">
        <f>IF(ISNUMBER(SEARCH("Elementary",C37)), "Elementary School","")</f>
        <v>Elementary School</v>
      </c>
      <c r="E37">
        <v>4500870</v>
      </c>
      <c r="F37" t="s">
        <v>910</v>
      </c>
      <c r="G37" s="1">
        <v>42641</v>
      </c>
      <c r="H37" t="s">
        <v>905</v>
      </c>
      <c r="I37">
        <v>2016</v>
      </c>
      <c r="J37" s="2">
        <v>0.57291666666666663</v>
      </c>
      <c r="K37" t="s">
        <v>90</v>
      </c>
      <c r="L37" t="s">
        <v>911</v>
      </c>
      <c r="M37" t="s">
        <v>604</v>
      </c>
      <c r="N37" s="4">
        <v>5190705</v>
      </c>
      <c r="O37" t="s">
        <v>56</v>
      </c>
      <c r="P37">
        <v>295</v>
      </c>
      <c r="Q37">
        <v>1</v>
      </c>
      <c r="R37">
        <v>2</v>
      </c>
      <c r="S37">
        <v>3</v>
      </c>
      <c r="T37" t="s">
        <v>57</v>
      </c>
      <c r="U37">
        <v>14</v>
      </c>
      <c r="V37" t="s">
        <v>58</v>
      </c>
      <c r="W37" t="s">
        <v>59</v>
      </c>
      <c r="X37" t="s">
        <v>381</v>
      </c>
      <c r="Y37">
        <v>0</v>
      </c>
      <c r="AG37">
        <v>265</v>
      </c>
      <c r="AH37">
        <v>13</v>
      </c>
      <c r="AI37">
        <v>3</v>
      </c>
      <c r="AJ37">
        <v>2</v>
      </c>
      <c r="AK37">
        <v>0</v>
      </c>
      <c r="AL37">
        <v>1</v>
      </c>
      <c r="AM37">
        <v>11</v>
      </c>
      <c r="AN37">
        <v>0</v>
      </c>
      <c r="AO37" t="s">
        <v>912</v>
      </c>
      <c r="AP37" t="s">
        <v>108</v>
      </c>
      <c r="AQ37">
        <v>34.563110000000002</v>
      </c>
      <c r="AR37">
        <v>-82.903470999999996</v>
      </c>
      <c r="AS37">
        <v>19</v>
      </c>
      <c r="AT37" t="s">
        <v>130</v>
      </c>
      <c r="AU37">
        <v>6</v>
      </c>
      <c r="AV37">
        <v>186</v>
      </c>
      <c r="AW37" t="s">
        <v>913</v>
      </c>
      <c r="AX37">
        <v>45</v>
      </c>
      <c r="AY37">
        <v>45007</v>
      </c>
      <c r="AZ37">
        <v>42</v>
      </c>
    </row>
    <row r="38" spans="1:52" x14ac:dyDescent="0.3">
      <c r="A38">
        <v>192</v>
      </c>
      <c r="B38">
        <v>63417005375</v>
      </c>
      <c r="C38" t="s">
        <v>949</v>
      </c>
      <c r="D38" t="str">
        <f>IF(ISNUMBER(SEARCH("Elementary",C38)), "Elementary School","")</f>
        <v>Elementary School</v>
      </c>
      <c r="E38">
        <v>634170</v>
      </c>
      <c r="F38" t="s">
        <v>950</v>
      </c>
      <c r="G38" s="1">
        <v>42835</v>
      </c>
      <c r="H38" t="s">
        <v>905</v>
      </c>
      <c r="I38">
        <v>2017</v>
      </c>
      <c r="J38" s="2">
        <v>0.4375</v>
      </c>
      <c r="K38" t="s">
        <v>82</v>
      </c>
      <c r="L38" t="s">
        <v>951</v>
      </c>
      <c r="M38" t="s">
        <v>121</v>
      </c>
      <c r="N38" s="4">
        <v>39237836</v>
      </c>
      <c r="O38" t="s">
        <v>56</v>
      </c>
      <c r="P38">
        <v>531</v>
      </c>
      <c r="Q38">
        <v>2</v>
      </c>
      <c r="R38">
        <v>1</v>
      </c>
      <c r="S38">
        <v>3</v>
      </c>
      <c r="T38" t="s">
        <v>70</v>
      </c>
      <c r="U38">
        <v>53</v>
      </c>
      <c r="V38" t="s">
        <v>58</v>
      </c>
      <c r="W38" t="s">
        <v>146</v>
      </c>
      <c r="X38" t="s">
        <v>952</v>
      </c>
      <c r="Y38">
        <v>1</v>
      </c>
      <c r="Z38" t="s">
        <v>61</v>
      </c>
      <c r="AG38">
        <v>61</v>
      </c>
      <c r="AH38">
        <v>60</v>
      </c>
      <c r="AI38">
        <v>360</v>
      </c>
      <c r="AJ38">
        <v>9</v>
      </c>
      <c r="AK38">
        <v>3</v>
      </c>
      <c r="AL38">
        <v>0</v>
      </c>
      <c r="AM38">
        <v>38</v>
      </c>
      <c r="AN38">
        <v>0</v>
      </c>
      <c r="AO38" t="s">
        <v>953</v>
      </c>
      <c r="AQ38">
        <v>34.179206000000001</v>
      </c>
      <c r="AR38">
        <v>-117.301804</v>
      </c>
      <c r="AS38">
        <v>19</v>
      </c>
      <c r="AT38" t="s">
        <v>124</v>
      </c>
      <c r="AU38">
        <v>6</v>
      </c>
      <c r="AV38">
        <v>407</v>
      </c>
      <c r="AW38" t="s">
        <v>775</v>
      </c>
      <c r="AX38">
        <v>6</v>
      </c>
      <c r="AY38">
        <v>6071</v>
      </c>
      <c r="AZ38">
        <v>12</v>
      </c>
    </row>
    <row r="39" spans="1:52" x14ac:dyDescent="0.3">
      <c r="A39">
        <v>212</v>
      </c>
      <c r="B39">
        <v>62553003843</v>
      </c>
      <c r="C39" t="s">
        <v>1018</v>
      </c>
      <c r="D39" t="str">
        <f>IF(ISNUMBER(SEARCH("High",C39)), "High School","")</f>
        <v>High School</v>
      </c>
      <c r="E39">
        <v>625530</v>
      </c>
      <c r="F39" t="s">
        <v>1019</v>
      </c>
      <c r="G39" s="1">
        <v>43172</v>
      </c>
      <c r="H39" t="s">
        <v>965</v>
      </c>
      <c r="I39">
        <v>2018</v>
      </c>
      <c r="J39" s="2">
        <v>0.55555555555555558</v>
      </c>
      <c r="K39" t="s">
        <v>53</v>
      </c>
      <c r="L39" t="s">
        <v>1020</v>
      </c>
      <c r="M39" t="s">
        <v>121</v>
      </c>
      <c r="N39" s="4">
        <v>39237836</v>
      </c>
      <c r="O39" t="s">
        <v>56</v>
      </c>
      <c r="P39">
        <v>1059</v>
      </c>
      <c r="Q39">
        <v>0</v>
      </c>
      <c r="R39">
        <v>3</v>
      </c>
      <c r="S39">
        <v>3</v>
      </c>
      <c r="T39" t="s">
        <v>114</v>
      </c>
      <c r="V39" t="s">
        <v>58</v>
      </c>
      <c r="W39" t="s">
        <v>59</v>
      </c>
      <c r="X39" t="s">
        <v>1015</v>
      </c>
      <c r="Y39">
        <v>0</v>
      </c>
      <c r="AG39">
        <v>113</v>
      </c>
      <c r="AH39">
        <v>79</v>
      </c>
      <c r="AI39">
        <v>680</v>
      </c>
      <c r="AJ39">
        <v>107</v>
      </c>
      <c r="AK39">
        <v>1</v>
      </c>
      <c r="AL39">
        <v>35</v>
      </c>
      <c r="AM39">
        <v>44</v>
      </c>
      <c r="AN39">
        <v>0</v>
      </c>
      <c r="AO39" t="s">
        <v>1021</v>
      </c>
      <c r="AP39" t="s">
        <v>362</v>
      </c>
      <c r="AQ39">
        <v>36.62444</v>
      </c>
      <c r="AR39">
        <v>-121.83799999999999</v>
      </c>
      <c r="AS39">
        <v>52.75</v>
      </c>
      <c r="AT39">
        <v>9</v>
      </c>
      <c r="AU39">
        <v>12</v>
      </c>
      <c r="AV39">
        <v>736</v>
      </c>
      <c r="AW39" t="s">
        <v>635</v>
      </c>
      <c r="AX39">
        <v>6</v>
      </c>
      <c r="AY39">
        <v>6053</v>
      </c>
      <c r="AZ39">
        <v>22</v>
      </c>
    </row>
    <row r="40" spans="1:52" x14ac:dyDescent="0.3">
      <c r="A40">
        <v>275</v>
      </c>
      <c r="B40" s="3">
        <v>160157000000</v>
      </c>
      <c r="C40" t="s">
        <v>1237</v>
      </c>
      <c r="D40" t="str">
        <f>IF(ISNUMBER(SEARCH("Middle",C40)), "Middle School","")</f>
        <v>Middle School</v>
      </c>
      <c r="E40">
        <v>1601570</v>
      </c>
      <c r="F40" t="s">
        <v>1238</v>
      </c>
      <c r="G40" s="1">
        <v>44322</v>
      </c>
      <c r="H40" t="s">
        <v>1188</v>
      </c>
      <c r="I40">
        <v>2021</v>
      </c>
      <c r="J40" s="2">
        <v>0.375</v>
      </c>
      <c r="K40" t="s">
        <v>67</v>
      </c>
      <c r="L40" t="s">
        <v>1239</v>
      </c>
      <c r="M40" t="s">
        <v>1240</v>
      </c>
      <c r="N40" s="4">
        <v>1900923</v>
      </c>
      <c r="O40" t="s">
        <v>56</v>
      </c>
      <c r="P40">
        <v>1541</v>
      </c>
      <c r="Q40">
        <v>0</v>
      </c>
      <c r="R40">
        <v>3</v>
      </c>
      <c r="S40">
        <v>3</v>
      </c>
      <c r="T40" t="s">
        <v>57</v>
      </c>
      <c r="V40" t="s">
        <v>152</v>
      </c>
      <c r="X40" t="s">
        <v>60</v>
      </c>
      <c r="AG40">
        <v>1334</v>
      </c>
      <c r="AH40">
        <v>1</v>
      </c>
      <c r="AI40">
        <v>169</v>
      </c>
      <c r="AJ40">
        <v>5</v>
      </c>
      <c r="AK40">
        <v>3</v>
      </c>
      <c r="AL40">
        <v>3</v>
      </c>
      <c r="AM40">
        <v>26</v>
      </c>
      <c r="AN40">
        <v>0</v>
      </c>
      <c r="AO40" t="s">
        <v>136</v>
      </c>
      <c r="AQ40">
        <v>43.668498</v>
      </c>
      <c r="AR40">
        <v>-111.94192700000001</v>
      </c>
      <c r="AS40">
        <v>76.819999999999993</v>
      </c>
      <c r="AT40">
        <v>6</v>
      </c>
      <c r="AU40">
        <v>8</v>
      </c>
      <c r="AV40">
        <v>508</v>
      </c>
      <c r="AW40" t="s">
        <v>64</v>
      </c>
      <c r="AX40">
        <v>16</v>
      </c>
      <c r="AY40">
        <v>16051</v>
      </c>
      <c r="AZ40">
        <v>41</v>
      </c>
    </row>
    <row r="41" spans="1:52" x14ac:dyDescent="0.3">
      <c r="A41">
        <v>288</v>
      </c>
      <c r="B41" s="3">
        <v>450391000000</v>
      </c>
      <c r="C41" t="s">
        <v>1249</v>
      </c>
      <c r="D41" t="str">
        <f>IF(ISNUMBER(SEARCH("High",C41)), "High School","")</f>
        <v>High School</v>
      </c>
      <c r="E41">
        <v>4503910</v>
      </c>
      <c r="F41" t="s">
        <v>1250</v>
      </c>
      <c r="G41" s="1">
        <v>44426</v>
      </c>
      <c r="H41" t="s">
        <v>1243</v>
      </c>
      <c r="I41">
        <v>2021</v>
      </c>
      <c r="J41" s="2">
        <v>0.66666666666666663</v>
      </c>
      <c r="K41" t="s">
        <v>90</v>
      </c>
      <c r="L41" t="s">
        <v>1250</v>
      </c>
      <c r="M41" t="s">
        <v>604</v>
      </c>
      <c r="N41" s="4">
        <v>5190705</v>
      </c>
      <c r="O41" t="s">
        <v>56</v>
      </c>
      <c r="P41">
        <v>1016</v>
      </c>
      <c r="Q41">
        <v>0</v>
      </c>
      <c r="R41">
        <v>3</v>
      </c>
      <c r="S41">
        <v>3</v>
      </c>
      <c r="T41" t="s">
        <v>70</v>
      </c>
      <c r="U41">
        <v>14</v>
      </c>
      <c r="V41" t="s">
        <v>58</v>
      </c>
      <c r="AG41">
        <v>17</v>
      </c>
      <c r="AH41">
        <v>954</v>
      </c>
      <c r="AI41">
        <v>30</v>
      </c>
      <c r="AJ41">
        <v>9</v>
      </c>
      <c r="AK41">
        <v>2</v>
      </c>
      <c r="AL41">
        <v>2</v>
      </c>
      <c r="AM41">
        <v>2</v>
      </c>
      <c r="AN41">
        <v>0</v>
      </c>
      <c r="AQ41">
        <v>33.524095000000003</v>
      </c>
      <c r="AR41">
        <v>-80.836538000000004</v>
      </c>
      <c r="AS41">
        <v>57</v>
      </c>
      <c r="AT41">
        <v>9</v>
      </c>
      <c r="AU41">
        <v>12</v>
      </c>
      <c r="AV41">
        <v>1016</v>
      </c>
      <c r="AW41" t="s">
        <v>1251</v>
      </c>
      <c r="AX41">
        <v>45</v>
      </c>
      <c r="AY41">
        <v>45075</v>
      </c>
      <c r="AZ41">
        <v>32</v>
      </c>
    </row>
    <row r="42" spans="1:52" x14ac:dyDescent="0.3">
      <c r="A42">
        <v>302</v>
      </c>
      <c r="B42">
        <v>80234000064</v>
      </c>
      <c r="C42" t="s">
        <v>1294</v>
      </c>
      <c r="D42" t="str">
        <f>IF(ISNUMBER(SEARCH("High",C42)), "High School","")</f>
        <v>High School</v>
      </c>
      <c r="E42">
        <v>802340</v>
      </c>
      <c r="F42" t="s">
        <v>1295</v>
      </c>
      <c r="G42" s="1">
        <v>44519</v>
      </c>
      <c r="H42" t="s">
        <v>1243</v>
      </c>
      <c r="I42">
        <v>2021</v>
      </c>
      <c r="J42" s="2">
        <v>0.5</v>
      </c>
      <c r="K42" t="s">
        <v>95</v>
      </c>
      <c r="L42" t="s">
        <v>1296</v>
      </c>
      <c r="M42" t="s">
        <v>55</v>
      </c>
      <c r="N42" s="4">
        <v>5812069</v>
      </c>
      <c r="O42" t="s">
        <v>56</v>
      </c>
      <c r="P42">
        <v>2091</v>
      </c>
      <c r="Q42">
        <v>0</v>
      </c>
      <c r="R42">
        <v>3</v>
      </c>
      <c r="S42">
        <v>3</v>
      </c>
      <c r="T42" t="s">
        <v>70</v>
      </c>
      <c r="U42">
        <v>16</v>
      </c>
      <c r="X42" t="s">
        <v>60</v>
      </c>
      <c r="AG42">
        <v>117</v>
      </c>
      <c r="AH42">
        <v>290</v>
      </c>
      <c r="AI42">
        <v>1513</v>
      </c>
      <c r="AJ42">
        <v>81</v>
      </c>
      <c r="AK42">
        <v>18</v>
      </c>
      <c r="AL42">
        <v>25</v>
      </c>
      <c r="AM42">
        <v>47</v>
      </c>
      <c r="AN42">
        <v>1</v>
      </c>
      <c r="AQ42">
        <v>39.734900000000003</v>
      </c>
      <c r="AR42">
        <v>-104.8086</v>
      </c>
      <c r="AS42">
        <v>107.93</v>
      </c>
      <c r="AT42">
        <v>9</v>
      </c>
      <c r="AU42">
        <v>12</v>
      </c>
      <c r="AV42">
        <v>1726</v>
      </c>
      <c r="AW42" t="s">
        <v>783</v>
      </c>
      <c r="AX42">
        <v>8</v>
      </c>
      <c r="AY42">
        <v>8005</v>
      </c>
      <c r="AZ42">
        <v>11</v>
      </c>
    </row>
    <row r="43" spans="1:52" x14ac:dyDescent="0.3">
      <c r="A43">
        <v>319</v>
      </c>
      <c r="B43" s="3">
        <v>190897000000</v>
      </c>
      <c r="C43" t="s">
        <v>1348</v>
      </c>
      <c r="D43" t="str">
        <f>IF(ISNUMBER(SEARCH("High",C43)), "High School","")</f>
        <v>High School</v>
      </c>
      <c r="E43">
        <v>1908970</v>
      </c>
      <c r="F43" t="s">
        <v>1349</v>
      </c>
      <c r="G43" s="1">
        <v>44627</v>
      </c>
      <c r="H43" t="s">
        <v>1243</v>
      </c>
      <c r="I43">
        <v>2022</v>
      </c>
      <c r="J43" s="2">
        <v>0.625</v>
      </c>
      <c r="K43" t="s">
        <v>82</v>
      </c>
      <c r="L43" t="s">
        <v>1350</v>
      </c>
      <c r="M43" t="s">
        <v>1351</v>
      </c>
      <c r="N43" s="4">
        <v>3193079</v>
      </c>
      <c r="O43" t="s">
        <v>56</v>
      </c>
      <c r="P43">
        <v>2204</v>
      </c>
      <c r="Q43">
        <v>1</v>
      </c>
      <c r="R43">
        <v>2</v>
      </c>
      <c r="S43">
        <v>3</v>
      </c>
      <c r="T43" t="s">
        <v>57</v>
      </c>
      <c r="AG43">
        <v>644</v>
      </c>
      <c r="AH43">
        <v>339</v>
      </c>
      <c r="AI43">
        <v>922</v>
      </c>
      <c r="AJ43">
        <v>158</v>
      </c>
      <c r="AK43">
        <v>10</v>
      </c>
      <c r="AL43">
        <v>2</v>
      </c>
      <c r="AM43">
        <v>129</v>
      </c>
      <c r="AN43">
        <v>0</v>
      </c>
      <c r="AQ43">
        <v>41.596899999999998</v>
      </c>
      <c r="AR43">
        <v>-93.600680999999994</v>
      </c>
      <c r="AS43">
        <v>97.1</v>
      </c>
      <c r="AT43">
        <v>9</v>
      </c>
      <c r="AU43">
        <v>12</v>
      </c>
      <c r="AV43">
        <v>1815</v>
      </c>
      <c r="AW43" t="s">
        <v>1352</v>
      </c>
      <c r="AX43">
        <v>19</v>
      </c>
      <c r="AY43">
        <v>19153</v>
      </c>
      <c r="AZ43">
        <v>12</v>
      </c>
    </row>
    <row r="44" spans="1:52" x14ac:dyDescent="0.3">
      <c r="A44">
        <v>320</v>
      </c>
      <c r="B44" s="3">
        <v>120039000000</v>
      </c>
      <c r="C44" t="s">
        <v>1353</v>
      </c>
      <c r="D44" t="str">
        <f>IF(ISNUMBER(SEARCH("High",C44)), "High School","")</f>
        <v>High School</v>
      </c>
      <c r="E44">
        <v>1200390</v>
      </c>
      <c r="F44" t="s">
        <v>1354</v>
      </c>
      <c r="G44" s="1">
        <v>44629</v>
      </c>
      <c r="H44" t="s">
        <v>1243</v>
      </c>
      <c r="I44">
        <v>2022</v>
      </c>
      <c r="J44" s="2">
        <v>0.5625</v>
      </c>
      <c r="K44" t="s">
        <v>90</v>
      </c>
      <c r="L44" t="s">
        <v>1355</v>
      </c>
      <c r="M44" t="s">
        <v>113</v>
      </c>
      <c r="N44" s="4">
        <v>21781128</v>
      </c>
      <c r="O44" t="s">
        <v>56</v>
      </c>
      <c r="P44">
        <v>335</v>
      </c>
      <c r="Q44">
        <v>0</v>
      </c>
      <c r="R44">
        <v>3</v>
      </c>
      <c r="S44">
        <v>3</v>
      </c>
      <c r="T44" t="s">
        <v>57</v>
      </c>
      <c r="U44">
        <v>17</v>
      </c>
      <c r="V44" t="s">
        <v>58</v>
      </c>
      <c r="AA44">
        <v>18</v>
      </c>
      <c r="AB44" t="s">
        <v>58</v>
      </c>
      <c r="AG44">
        <v>11</v>
      </c>
      <c r="AH44">
        <v>138</v>
      </c>
      <c r="AI44">
        <v>183</v>
      </c>
      <c r="AJ44">
        <v>0</v>
      </c>
      <c r="AK44">
        <v>0</v>
      </c>
      <c r="AL44">
        <v>0</v>
      </c>
      <c r="AM44">
        <v>3</v>
      </c>
      <c r="AN44">
        <v>0</v>
      </c>
      <c r="AO44" t="s">
        <v>1356</v>
      </c>
      <c r="AQ44">
        <v>25.938839000000002</v>
      </c>
      <c r="AR44">
        <v>-80.276769000000002</v>
      </c>
      <c r="AS44">
        <v>6</v>
      </c>
      <c r="AT44">
        <v>9</v>
      </c>
      <c r="AU44">
        <v>12</v>
      </c>
      <c r="AV44">
        <v>140</v>
      </c>
      <c r="AW44" t="s">
        <v>746</v>
      </c>
      <c r="AX44">
        <v>12</v>
      </c>
      <c r="AY44">
        <v>12086</v>
      </c>
      <c r="AZ44">
        <v>21</v>
      </c>
    </row>
    <row r="45" spans="1:52" x14ac:dyDescent="0.3">
      <c r="A45">
        <v>33</v>
      </c>
      <c r="B45" s="3">
        <v>362058000000</v>
      </c>
      <c r="C45" t="s">
        <v>260</v>
      </c>
      <c r="D45" t="str">
        <f>IF(ISNUMBER(SEARCH("High",C45)), "High School","")</f>
        <v>High School</v>
      </c>
      <c r="E45">
        <v>3620580</v>
      </c>
      <c r="F45" t="s">
        <v>261</v>
      </c>
      <c r="G45" s="1">
        <v>37271</v>
      </c>
      <c r="H45" t="s">
        <v>246</v>
      </c>
      <c r="I45">
        <v>2002</v>
      </c>
      <c r="J45" s="2">
        <v>0.58333333333333337</v>
      </c>
      <c r="K45" t="s">
        <v>53</v>
      </c>
      <c r="L45" t="s">
        <v>262</v>
      </c>
      <c r="M45" t="s">
        <v>263</v>
      </c>
      <c r="N45" s="4">
        <v>19835913</v>
      </c>
      <c r="O45" t="s">
        <v>56</v>
      </c>
      <c r="P45">
        <v>2258</v>
      </c>
      <c r="Q45">
        <v>0</v>
      </c>
      <c r="R45">
        <v>2</v>
      </c>
      <c r="S45">
        <v>2</v>
      </c>
      <c r="T45" t="s">
        <v>70</v>
      </c>
      <c r="U45">
        <v>17</v>
      </c>
      <c r="V45" t="s">
        <v>58</v>
      </c>
      <c r="X45" t="s">
        <v>60</v>
      </c>
      <c r="Y45">
        <v>0</v>
      </c>
      <c r="AG45">
        <v>49</v>
      </c>
      <c r="AH45">
        <v>1223</v>
      </c>
      <c r="AI45">
        <v>949</v>
      </c>
      <c r="AJ45">
        <v>29</v>
      </c>
      <c r="AK45">
        <v>8</v>
      </c>
      <c r="AN45">
        <v>0</v>
      </c>
      <c r="AO45" t="s">
        <v>264</v>
      </c>
      <c r="AP45" t="s">
        <v>265</v>
      </c>
      <c r="AQ45">
        <v>40.774262</v>
      </c>
      <c r="AR45">
        <v>-73.985021000000003</v>
      </c>
      <c r="AS45">
        <v>97.7</v>
      </c>
      <c r="AT45">
        <v>9</v>
      </c>
      <c r="AU45">
        <v>12</v>
      </c>
      <c r="AV45">
        <v>1831</v>
      </c>
      <c r="AW45" t="s">
        <v>266</v>
      </c>
      <c r="AX45">
        <v>36</v>
      </c>
      <c r="AY45">
        <v>36061</v>
      </c>
      <c r="AZ45">
        <v>11</v>
      </c>
    </row>
    <row r="46" spans="1:52" x14ac:dyDescent="0.3">
      <c r="A46">
        <v>34</v>
      </c>
      <c r="B46">
        <v>62271003034</v>
      </c>
      <c r="C46" t="s">
        <v>267</v>
      </c>
      <c r="D46" t="str">
        <f>IF(ISNUMBER(SEARCH("High",C46)), "High School","")</f>
        <v>High School</v>
      </c>
      <c r="E46">
        <v>622710</v>
      </c>
      <c r="F46" t="s">
        <v>240</v>
      </c>
      <c r="G46" s="1">
        <v>37293</v>
      </c>
      <c r="H46" t="s">
        <v>246</v>
      </c>
      <c r="I46">
        <v>2002</v>
      </c>
      <c r="J46" s="2">
        <v>0.61805555555555558</v>
      </c>
      <c r="K46" t="s">
        <v>90</v>
      </c>
      <c r="L46" t="s">
        <v>241</v>
      </c>
      <c r="M46" t="s">
        <v>121</v>
      </c>
      <c r="N46" s="4">
        <v>39237836</v>
      </c>
      <c r="O46" t="s">
        <v>56</v>
      </c>
      <c r="P46">
        <v>3198</v>
      </c>
      <c r="Q46">
        <v>0</v>
      </c>
      <c r="R46">
        <v>2</v>
      </c>
      <c r="S46">
        <v>2</v>
      </c>
      <c r="T46" t="s">
        <v>70</v>
      </c>
      <c r="U46">
        <v>17</v>
      </c>
      <c r="V46" t="s">
        <v>58</v>
      </c>
      <c r="X46" t="s">
        <v>60</v>
      </c>
      <c r="Y46">
        <v>0</v>
      </c>
      <c r="AG46">
        <v>77</v>
      </c>
      <c r="AH46">
        <v>1381</v>
      </c>
      <c r="AI46">
        <v>1492</v>
      </c>
      <c r="AJ46">
        <v>244</v>
      </c>
      <c r="AK46">
        <v>4</v>
      </c>
      <c r="AN46">
        <v>0</v>
      </c>
      <c r="AO46" t="s">
        <v>226</v>
      </c>
      <c r="AQ46">
        <v>33.866342000000003</v>
      </c>
      <c r="AR46">
        <v>-118.29670400000001</v>
      </c>
      <c r="AS46">
        <v>133.19999999999999</v>
      </c>
      <c r="AT46">
        <v>9</v>
      </c>
      <c r="AU46">
        <v>12</v>
      </c>
      <c r="AV46">
        <v>1941</v>
      </c>
      <c r="AW46" t="s">
        <v>243</v>
      </c>
      <c r="AX46">
        <v>6</v>
      </c>
      <c r="AY46">
        <v>6037</v>
      </c>
      <c r="AZ46">
        <v>11</v>
      </c>
    </row>
    <row r="47" spans="1:52" x14ac:dyDescent="0.3">
      <c r="A47">
        <v>37</v>
      </c>
      <c r="B47">
        <v>753892</v>
      </c>
      <c r="C47" t="s">
        <v>279</v>
      </c>
      <c r="D47" t="s">
        <v>1542</v>
      </c>
      <c r="G47" s="1">
        <v>37567</v>
      </c>
      <c r="H47" t="s">
        <v>270</v>
      </c>
      <c r="I47">
        <v>2002</v>
      </c>
      <c r="J47" s="2">
        <v>0.52083333333333337</v>
      </c>
      <c r="K47" t="s">
        <v>67</v>
      </c>
      <c r="L47" t="s">
        <v>280</v>
      </c>
      <c r="M47" t="s">
        <v>281</v>
      </c>
      <c r="N47" s="4">
        <v>6168187</v>
      </c>
      <c r="O47" t="s">
        <v>216</v>
      </c>
      <c r="P47">
        <v>297</v>
      </c>
      <c r="Q47">
        <v>1</v>
      </c>
      <c r="R47">
        <v>1</v>
      </c>
      <c r="S47">
        <v>2</v>
      </c>
      <c r="T47" t="s">
        <v>70</v>
      </c>
      <c r="U47">
        <v>41</v>
      </c>
      <c r="V47" t="s">
        <v>58</v>
      </c>
      <c r="X47" t="s">
        <v>153</v>
      </c>
      <c r="Y47">
        <v>0</v>
      </c>
      <c r="AG47">
        <v>287</v>
      </c>
      <c r="AH47">
        <v>4</v>
      </c>
      <c r="AI47">
        <v>5</v>
      </c>
      <c r="AJ47">
        <v>1</v>
      </c>
      <c r="AK47">
        <v>0</v>
      </c>
      <c r="AN47">
        <v>0</v>
      </c>
      <c r="AO47" t="s">
        <v>242</v>
      </c>
      <c r="AP47" t="s">
        <v>155</v>
      </c>
      <c r="AQ47">
        <v>39.240746000000001</v>
      </c>
      <c r="AR47">
        <v>-94.455150000000003</v>
      </c>
      <c r="AT47" t="s">
        <v>124</v>
      </c>
      <c r="AU47">
        <v>8</v>
      </c>
      <c r="AW47" t="s">
        <v>282</v>
      </c>
      <c r="AX47">
        <v>29</v>
      </c>
      <c r="AY47">
        <v>29047</v>
      </c>
      <c r="AZ47">
        <v>21</v>
      </c>
    </row>
    <row r="48" spans="1:52" x14ac:dyDescent="0.3">
      <c r="A48">
        <v>46</v>
      </c>
      <c r="B48" s="3">
        <v>270944000000</v>
      </c>
      <c r="C48" t="s">
        <v>318</v>
      </c>
      <c r="D48" t="str">
        <f>IF(ISNUMBER(SEARCH("High",C48)), "High School","")</f>
        <v>High School</v>
      </c>
      <c r="E48">
        <v>2709440</v>
      </c>
      <c r="F48" t="s">
        <v>319</v>
      </c>
      <c r="G48" s="1">
        <v>37888</v>
      </c>
      <c r="H48" t="s">
        <v>310</v>
      </c>
      <c r="I48">
        <v>2003</v>
      </c>
      <c r="J48" s="2">
        <v>0.48472222222222222</v>
      </c>
      <c r="K48" t="s">
        <v>90</v>
      </c>
      <c r="L48" t="s">
        <v>320</v>
      </c>
      <c r="M48" t="s">
        <v>321</v>
      </c>
      <c r="N48" s="4">
        <v>5707390</v>
      </c>
      <c r="O48" t="s">
        <v>56</v>
      </c>
      <c r="P48">
        <v>831</v>
      </c>
      <c r="Q48">
        <v>2</v>
      </c>
      <c r="R48">
        <v>0</v>
      </c>
      <c r="S48">
        <v>2</v>
      </c>
      <c r="T48" t="s">
        <v>70</v>
      </c>
      <c r="U48">
        <v>15</v>
      </c>
      <c r="V48" t="s">
        <v>58</v>
      </c>
      <c r="W48" t="s">
        <v>59</v>
      </c>
      <c r="X48" t="s">
        <v>60</v>
      </c>
      <c r="Y48">
        <v>0</v>
      </c>
      <c r="AG48">
        <v>813</v>
      </c>
      <c r="AH48">
        <v>3</v>
      </c>
      <c r="AI48">
        <v>8</v>
      </c>
      <c r="AJ48">
        <v>7</v>
      </c>
      <c r="AK48">
        <v>0</v>
      </c>
      <c r="AN48">
        <v>0</v>
      </c>
      <c r="AO48" t="s">
        <v>72</v>
      </c>
      <c r="AP48" t="s">
        <v>108</v>
      </c>
      <c r="AQ48">
        <v>45.466258000000003</v>
      </c>
      <c r="AR48">
        <v>-94.426618000000005</v>
      </c>
      <c r="AS48">
        <v>48</v>
      </c>
      <c r="AT48">
        <v>8</v>
      </c>
      <c r="AU48">
        <v>12</v>
      </c>
      <c r="AV48">
        <v>100</v>
      </c>
      <c r="AW48" t="s">
        <v>322</v>
      </c>
      <c r="AX48">
        <v>27</v>
      </c>
      <c r="AY48">
        <v>27145</v>
      </c>
      <c r="AZ48">
        <v>31</v>
      </c>
    </row>
    <row r="49" spans="1:52" x14ac:dyDescent="0.3">
      <c r="A49">
        <v>48</v>
      </c>
      <c r="B49">
        <v>61233007702</v>
      </c>
      <c r="C49" t="s">
        <v>329</v>
      </c>
      <c r="D49" t="str">
        <f>IF(ISNUMBER(SEARCH("High",C49)), "High School","")</f>
        <v>High School</v>
      </c>
      <c r="E49">
        <v>612330</v>
      </c>
      <c r="F49" t="s">
        <v>330</v>
      </c>
      <c r="G49" s="1">
        <v>37895</v>
      </c>
      <c r="H49" t="s">
        <v>310</v>
      </c>
      <c r="I49">
        <v>2003</v>
      </c>
      <c r="J49" s="2">
        <v>0.375</v>
      </c>
      <c r="K49" t="s">
        <v>90</v>
      </c>
      <c r="L49" t="s">
        <v>331</v>
      </c>
      <c r="M49" t="s">
        <v>121</v>
      </c>
      <c r="N49" s="4">
        <v>39237836</v>
      </c>
      <c r="O49" t="s">
        <v>56</v>
      </c>
      <c r="P49">
        <v>317</v>
      </c>
      <c r="Q49">
        <v>0</v>
      </c>
      <c r="R49">
        <v>2</v>
      </c>
      <c r="S49">
        <v>2</v>
      </c>
      <c r="T49" t="s">
        <v>70</v>
      </c>
      <c r="V49" t="s">
        <v>58</v>
      </c>
      <c r="X49" t="s">
        <v>332</v>
      </c>
      <c r="Y49">
        <v>0</v>
      </c>
      <c r="AG49">
        <v>27</v>
      </c>
      <c r="AH49">
        <v>105</v>
      </c>
      <c r="AI49">
        <v>91</v>
      </c>
      <c r="AJ49">
        <v>88</v>
      </c>
      <c r="AK49">
        <v>5</v>
      </c>
      <c r="AN49">
        <v>0</v>
      </c>
      <c r="AO49" t="s">
        <v>333</v>
      </c>
      <c r="AP49" t="s">
        <v>334</v>
      </c>
      <c r="AQ49">
        <v>38.469639000000001</v>
      </c>
      <c r="AR49">
        <v>-121.435306</v>
      </c>
      <c r="AS49">
        <v>10.8</v>
      </c>
      <c r="AT49">
        <v>9</v>
      </c>
      <c r="AU49">
        <v>12</v>
      </c>
      <c r="AV49">
        <v>99</v>
      </c>
      <c r="AW49" t="s">
        <v>335</v>
      </c>
      <c r="AX49">
        <v>6</v>
      </c>
      <c r="AY49">
        <v>6067</v>
      </c>
      <c r="AZ49">
        <v>21</v>
      </c>
    </row>
    <row r="50" spans="1:52" x14ac:dyDescent="0.3">
      <c r="A50">
        <v>49</v>
      </c>
      <c r="B50" s="3">
        <v>110003000000</v>
      </c>
      <c r="C50" t="s">
        <v>340</v>
      </c>
      <c r="D50" t="str">
        <f>IF(ISNUMBER(SEARCH("High",C50)), "High School","")</f>
        <v>High School</v>
      </c>
      <c r="E50">
        <v>1100030</v>
      </c>
      <c r="F50" t="s">
        <v>295</v>
      </c>
      <c r="G50" s="1">
        <v>38019</v>
      </c>
      <c r="H50" t="s">
        <v>310</v>
      </c>
      <c r="I50">
        <v>2004</v>
      </c>
      <c r="J50" s="2">
        <v>0.4375</v>
      </c>
      <c r="K50" t="s">
        <v>82</v>
      </c>
      <c r="L50" t="s">
        <v>171</v>
      </c>
      <c r="M50" t="s">
        <v>296</v>
      </c>
      <c r="N50" s="4">
        <v>670050</v>
      </c>
      <c r="O50" t="s">
        <v>56</v>
      </c>
      <c r="P50">
        <v>1090</v>
      </c>
      <c r="Q50">
        <v>1</v>
      </c>
      <c r="R50">
        <v>1</v>
      </c>
      <c r="S50">
        <v>2</v>
      </c>
      <c r="T50" t="s">
        <v>70</v>
      </c>
      <c r="U50">
        <v>18</v>
      </c>
      <c r="V50" t="s">
        <v>58</v>
      </c>
      <c r="W50" t="s">
        <v>146</v>
      </c>
      <c r="X50" t="s">
        <v>60</v>
      </c>
      <c r="Y50">
        <v>0</v>
      </c>
      <c r="AG50">
        <v>0</v>
      </c>
      <c r="AH50">
        <v>1084</v>
      </c>
      <c r="AI50">
        <v>2</v>
      </c>
      <c r="AJ50">
        <v>2</v>
      </c>
      <c r="AK50">
        <v>2</v>
      </c>
      <c r="AN50">
        <v>1</v>
      </c>
      <c r="AO50" t="s">
        <v>341</v>
      </c>
      <c r="AP50" t="s">
        <v>342</v>
      </c>
      <c r="AQ50">
        <v>38.839005</v>
      </c>
      <c r="AR50">
        <v>-77.001666999999998</v>
      </c>
      <c r="AS50">
        <v>68</v>
      </c>
      <c r="AT50">
        <v>9</v>
      </c>
      <c r="AU50">
        <v>12</v>
      </c>
      <c r="AV50">
        <v>897</v>
      </c>
      <c r="AW50" t="s">
        <v>296</v>
      </c>
      <c r="AX50">
        <v>11</v>
      </c>
      <c r="AY50">
        <v>11001</v>
      </c>
      <c r="AZ50">
        <v>11</v>
      </c>
    </row>
    <row r="51" spans="1:52" x14ac:dyDescent="0.3">
      <c r="A51">
        <v>51</v>
      </c>
      <c r="B51" s="3">
        <v>421899000000</v>
      </c>
      <c r="C51" t="s">
        <v>348</v>
      </c>
      <c r="D51" t="str">
        <f>IF(ISNUMBER(SEARCH("Elementary",C51)), "Elementary School","")</f>
        <v>Elementary School</v>
      </c>
      <c r="E51">
        <v>4218990</v>
      </c>
      <c r="F51" t="s">
        <v>80</v>
      </c>
      <c r="G51" s="1">
        <v>38028</v>
      </c>
      <c r="H51" t="s">
        <v>310</v>
      </c>
      <c r="I51">
        <v>2004</v>
      </c>
      <c r="J51" s="2">
        <v>0.35416666666666669</v>
      </c>
      <c r="K51" t="s">
        <v>90</v>
      </c>
      <c r="L51" t="s">
        <v>83</v>
      </c>
      <c r="M51" t="s">
        <v>84</v>
      </c>
      <c r="N51" s="4">
        <v>12964056</v>
      </c>
      <c r="O51" t="s">
        <v>56</v>
      </c>
      <c r="P51">
        <v>453</v>
      </c>
      <c r="Q51">
        <v>1</v>
      </c>
      <c r="R51">
        <v>1</v>
      </c>
      <c r="S51">
        <v>2</v>
      </c>
      <c r="T51" t="s">
        <v>70</v>
      </c>
      <c r="U51">
        <v>19</v>
      </c>
      <c r="V51" t="s">
        <v>58</v>
      </c>
      <c r="W51" t="s">
        <v>146</v>
      </c>
      <c r="X51" t="s">
        <v>199</v>
      </c>
      <c r="Y51">
        <v>0</v>
      </c>
      <c r="AA51">
        <v>20</v>
      </c>
      <c r="AB51" t="s">
        <v>58</v>
      </c>
      <c r="AC51" t="s">
        <v>146</v>
      </c>
      <c r="AD51" t="s">
        <v>199</v>
      </c>
      <c r="AE51">
        <v>0</v>
      </c>
      <c r="AG51">
        <v>2</v>
      </c>
      <c r="AH51">
        <v>445</v>
      </c>
      <c r="AI51">
        <v>4</v>
      </c>
      <c r="AJ51">
        <v>2</v>
      </c>
      <c r="AK51">
        <v>0</v>
      </c>
      <c r="AN51">
        <v>1</v>
      </c>
      <c r="AO51" t="s">
        <v>349</v>
      </c>
      <c r="AQ51">
        <v>39.998621</v>
      </c>
      <c r="AR51">
        <v>-75.168248000000006</v>
      </c>
      <c r="AS51">
        <v>26</v>
      </c>
      <c r="AT51" t="s">
        <v>124</v>
      </c>
      <c r="AU51">
        <v>5</v>
      </c>
      <c r="AV51">
        <v>450</v>
      </c>
      <c r="AW51" t="s">
        <v>87</v>
      </c>
      <c r="AX51">
        <v>42</v>
      </c>
      <c r="AY51">
        <v>42101</v>
      </c>
      <c r="AZ51">
        <v>11</v>
      </c>
    </row>
    <row r="52" spans="1:52" x14ac:dyDescent="0.3">
      <c r="A52">
        <v>52</v>
      </c>
      <c r="B52">
        <v>62805012992</v>
      </c>
      <c r="C52" t="s">
        <v>350</v>
      </c>
      <c r="D52" t="str">
        <f>IF(ISNUMBER(SEARCH("High",C52)), "High School","")</f>
        <v>High School</v>
      </c>
      <c r="E52">
        <v>628050</v>
      </c>
      <c r="F52" t="s">
        <v>351</v>
      </c>
      <c r="G52" s="1">
        <v>38147</v>
      </c>
      <c r="H52" t="s">
        <v>310</v>
      </c>
      <c r="I52">
        <v>2004</v>
      </c>
      <c r="J52" s="2">
        <v>0.51527777777777783</v>
      </c>
      <c r="K52" t="s">
        <v>90</v>
      </c>
      <c r="L52" t="s">
        <v>352</v>
      </c>
      <c r="M52" t="s">
        <v>121</v>
      </c>
      <c r="N52" s="4">
        <v>39237836</v>
      </c>
      <c r="O52" t="s">
        <v>56</v>
      </c>
      <c r="P52">
        <v>1467</v>
      </c>
      <c r="Q52">
        <v>0</v>
      </c>
      <c r="R52">
        <v>2</v>
      </c>
      <c r="S52">
        <v>2</v>
      </c>
      <c r="T52" t="s">
        <v>70</v>
      </c>
      <c r="Y52">
        <v>0</v>
      </c>
      <c r="AG52">
        <v>9</v>
      </c>
      <c r="AH52">
        <v>736</v>
      </c>
      <c r="AI52">
        <v>631</v>
      </c>
      <c r="AJ52">
        <v>83</v>
      </c>
      <c r="AK52">
        <v>1</v>
      </c>
      <c r="AN52">
        <v>0</v>
      </c>
      <c r="AQ52">
        <v>37.759819999999998</v>
      </c>
      <c r="AR52">
        <v>-122.16302</v>
      </c>
      <c r="AS52">
        <v>56.5</v>
      </c>
      <c r="AT52">
        <v>9</v>
      </c>
      <c r="AU52">
        <v>12</v>
      </c>
      <c r="AV52">
        <v>340</v>
      </c>
      <c r="AW52" t="s">
        <v>353</v>
      </c>
      <c r="AX52">
        <v>6</v>
      </c>
      <c r="AY52">
        <v>6001</v>
      </c>
      <c r="AZ52">
        <v>11</v>
      </c>
    </row>
    <row r="53" spans="1:52" x14ac:dyDescent="0.3">
      <c r="A53">
        <v>55</v>
      </c>
      <c r="B53" s="3">
        <v>240009000000</v>
      </c>
      <c r="C53" t="s">
        <v>359</v>
      </c>
      <c r="D53" t="str">
        <f>IF(ISNUMBER(SEARCH("High",C53)), "High School","")</f>
        <v>High School</v>
      </c>
      <c r="E53">
        <v>2400090</v>
      </c>
      <c r="F53" t="s">
        <v>201</v>
      </c>
      <c r="G53" s="1">
        <v>38281</v>
      </c>
      <c r="H53" t="s">
        <v>356</v>
      </c>
      <c r="I53">
        <v>2004</v>
      </c>
      <c r="J53" s="2">
        <v>0.66666666666666663</v>
      </c>
      <c r="K53" t="s">
        <v>67</v>
      </c>
      <c r="L53" t="s">
        <v>197</v>
      </c>
      <c r="M53" t="s">
        <v>198</v>
      </c>
      <c r="N53" s="4">
        <v>6165129</v>
      </c>
      <c r="O53" t="s">
        <v>56</v>
      </c>
      <c r="P53">
        <v>502</v>
      </c>
      <c r="Q53">
        <v>0</v>
      </c>
      <c r="R53">
        <v>2</v>
      </c>
      <c r="S53">
        <v>2</v>
      </c>
      <c r="T53" t="s">
        <v>70</v>
      </c>
      <c r="U53">
        <v>16</v>
      </c>
      <c r="V53" t="s">
        <v>58</v>
      </c>
      <c r="X53" t="s">
        <v>60</v>
      </c>
      <c r="Y53">
        <v>0</v>
      </c>
      <c r="AG53">
        <v>6</v>
      </c>
      <c r="AH53">
        <v>493</v>
      </c>
      <c r="AI53">
        <v>2</v>
      </c>
      <c r="AJ53">
        <v>0</v>
      </c>
      <c r="AK53">
        <v>1</v>
      </c>
      <c r="AN53">
        <v>1</v>
      </c>
      <c r="AO53" t="s">
        <v>136</v>
      </c>
      <c r="AQ53">
        <v>39.319110000000002</v>
      </c>
      <c r="AR53">
        <v>-76.545519999999996</v>
      </c>
      <c r="AS53">
        <v>22</v>
      </c>
      <c r="AT53">
        <v>9</v>
      </c>
      <c r="AU53">
        <v>11</v>
      </c>
      <c r="AV53">
        <v>296</v>
      </c>
      <c r="AW53" t="s">
        <v>201</v>
      </c>
      <c r="AX53">
        <v>24</v>
      </c>
      <c r="AY53">
        <v>24510</v>
      </c>
      <c r="AZ53">
        <v>11</v>
      </c>
    </row>
    <row r="54" spans="1:52" x14ac:dyDescent="0.3">
      <c r="A54">
        <v>75</v>
      </c>
      <c r="B54" s="3">
        <v>482034000000</v>
      </c>
      <c r="C54" t="s">
        <v>447</v>
      </c>
      <c r="D54" t="str">
        <f>IF(ISNUMBER(SEARCH("High",C54)), "High School","")</f>
        <v>High School</v>
      </c>
      <c r="E54">
        <v>4820340</v>
      </c>
      <c r="F54" t="s">
        <v>448</v>
      </c>
      <c r="G54" s="1">
        <v>38744</v>
      </c>
      <c r="H54" t="s">
        <v>398</v>
      </c>
      <c r="I54">
        <v>2006</v>
      </c>
      <c r="K54" t="s">
        <v>95</v>
      </c>
      <c r="L54" t="s">
        <v>449</v>
      </c>
      <c r="M54" t="s">
        <v>205</v>
      </c>
      <c r="N54" s="4">
        <v>29527941</v>
      </c>
      <c r="O54" t="s">
        <v>56</v>
      </c>
      <c r="P54">
        <v>2175</v>
      </c>
      <c r="Q54">
        <v>0</v>
      </c>
      <c r="R54">
        <v>2</v>
      </c>
      <c r="S54">
        <v>2</v>
      </c>
      <c r="T54" t="s">
        <v>114</v>
      </c>
      <c r="U54">
        <v>16</v>
      </c>
      <c r="V54" t="s">
        <v>58</v>
      </c>
      <c r="X54" t="s">
        <v>60</v>
      </c>
      <c r="Y54">
        <v>0</v>
      </c>
      <c r="AG54">
        <v>630</v>
      </c>
      <c r="AH54">
        <v>755</v>
      </c>
      <c r="AI54">
        <v>674</v>
      </c>
      <c r="AJ54">
        <v>108</v>
      </c>
      <c r="AK54">
        <v>8</v>
      </c>
      <c r="AN54">
        <v>0</v>
      </c>
      <c r="AO54" t="s">
        <v>450</v>
      </c>
      <c r="AQ54">
        <v>32.85566</v>
      </c>
      <c r="AR54">
        <v>-96.575890000000001</v>
      </c>
      <c r="AS54">
        <v>157.1</v>
      </c>
      <c r="AT54">
        <v>9</v>
      </c>
      <c r="AU54">
        <v>12</v>
      </c>
      <c r="AV54">
        <v>994</v>
      </c>
      <c r="AW54" t="s">
        <v>208</v>
      </c>
      <c r="AX54">
        <v>48</v>
      </c>
      <c r="AY54">
        <v>48113</v>
      </c>
      <c r="AZ54">
        <v>21</v>
      </c>
    </row>
    <row r="55" spans="1:52" x14ac:dyDescent="0.3">
      <c r="A55">
        <v>78</v>
      </c>
      <c r="B55" s="3">
        <v>320048000000</v>
      </c>
      <c r="C55" t="s">
        <v>462</v>
      </c>
      <c r="D55" t="str">
        <f>IF(ISNUMBER(SEARCH("Middle",C55)), "Middle School","")</f>
        <v>Middle School</v>
      </c>
      <c r="E55">
        <v>3200480</v>
      </c>
      <c r="F55" t="s">
        <v>463</v>
      </c>
      <c r="G55" s="1">
        <v>38790</v>
      </c>
      <c r="H55" t="s">
        <v>398</v>
      </c>
      <c r="I55">
        <v>2006</v>
      </c>
      <c r="J55" s="2">
        <v>0.375</v>
      </c>
      <c r="K55" t="s">
        <v>53</v>
      </c>
      <c r="L55" t="s">
        <v>464</v>
      </c>
      <c r="M55" t="s">
        <v>465</v>
      </c>
      <c r="N55" s="4">
        <v>3143991</v>
      </c>
      <c r="O55" t="s">
        <v>56</v>
      </c>
      <c r="P55">
        <v>868</v>
      </c>
      <c r="Q55">
        <v>0</v>
      </c>
      <c r="R55">
        <v>2</v>
      </c>
      <c r="S55">
        <v>2</v>
      </c>
      <c r="T55" t="s">
        <v>57</v>
      </c>
      <c r="U55">
        <v>14</v>
      </c>
      <c r="V55" t="s">
        <v>58</v>
      </c>
      <c r="W55" t="s">
        <v>59</v>
      </c>
      <c r="X55" t="s">
        <v>60</v>
      </c>
      <c r="Y55">
        <v>0</v>
      </c>
      <c r="AG55">
        <v>502</v>
      </c>
      <c r="AH55">
        <v>19</v>
      </c>
      <c r="AI55">
        <v>293</v>
      </c>
      <c r="AJ55">
        <v>40</v>
      </c>
      <c r="AK55">
        <v>14</v>
      </c>
      <c r="AN55">
        <v>0</v>
      </c>
      <c r="AO55" t="s">
        <v>466</v>
      </c>
      <c r="AP55" t="s">
        <v>108</v>
      </c>
      <c r="AQ55">
        <v>39.479810000000001</v>
      </c>
      <c r="AR55">
        <v>-119.78185999999999</v>
      </c>
      <c r="AS55">
        <v>40</v>
      </c>
      <c r="AT55">
        <v>7</v>
      </c>
      <c r="AU55">
        <v>8</v>
      </c>
      <c r="AV55">
        <v>286</v>
      </c>
      <c r="AW55" t="s">
        <v>467</v>
      </c>
      <c r="AX55">
        <v>32</v>
      </c>
      <c r="AY55">
        <v>32031</v>
      </c>
      <c r="AZ55">
        <v>12</v>
      </c>
    </row>
    <row r="56" spans="1:52" x14ac:dyDescent="0.3">
      <c r="A56">
        <v>80</v>
      </c>
      <c r="B56" s="3">
        <v>370348000000</v>
      </c>
      <c r="C56" t="s">
        <v>469</v>
      </c>
      <c r="D56" t="str">
        <f>IF(ISNUMBER(SEARCH("High",C56)), "High School","")</f>
        <v>High School</v>
      </c>
      <c r="E56">
        <v>3703480</v>
      </c>
      <c r="F56" t="s">
        <v>470</v>
      </c>
      <c r="G56" s="1">
        <v>38959</v>
      </c>
      <c r="H56" t="s">
        <v>471</v>
      </c>
      <c r="I56">
        <v>2006</v>
      </c>
      <c r="J56" s="2">
        <v>0.54166666666666663</v>
      </c>
      <c r="K56" t="s">
        <v>90</v>
      </c>
      <c r="L56" t="s">
        <v>472</v>
      </c>
      <c r="M56" t="s">
        <v>326</v>
      </c>
      <c r="N56" s="4">
        <v>10551162</v>
      </c>
      <c r="O56" t="s">
        <v>56</v>
      </c>
      <c r="P56">
        <v>1150</v>
      </c>
      <c r="Q56">
        <v>0</v>
      </c>
      <c r="R56">
        <v>2</v>
      </c>
      <c r="S56">
        <v>2</v>
      </c>
      <c r="T56" t="s">
        <v>57</v>
      </c>
      <c r="U56">
        <v>19</v>
      </c>
      <c r="V56" t="s">
        <v>58</v>
      </c>
      <c r="W56" t="s">
        <v>99</v>
      </c>
      <c r="X56" t="s">
        <v>381</v>
      </c>
      <c r="Y56">
        <v>0</v>
      </c>
      <c r="AG56">
        <v>776</v>
      </c>
      <c r="AH56">
        <v>290</v>
      </c>
      <c r="AI56">
        <v>55</v>
      </c>
      <c r="AJ56">
        <v>6</v>
      </c>
      <c r="AK56">
        <v>3</v>
      </c>
      <c r="AN56">
        <v>0</v>
      </c>
      <c r="AO56" t="s">
        <v>473</v>
      </c>
      <c r="AQ56">
        <v>36.092329999999997</v>
      </c>
      <c r="AR56">
        <v>-79.093369999999993</v>
      </c>
      <c r="AS56">
        <v>66.7</v>
      </c>
      <c r="AT56">
        <v>9</v>
      </c>
      <c r="AU56">
        <v>12</v>
      </c>
      <c r="AV56">
        <v>276</v>
      </c>
      <c r="AW56" t="s">
        <v>474</v>
      </c>
      <c r="AX56">
        <v>37</v>
      </c>
      <c r="AY56">
        <v>37135</v>
      </c>
      <c r="AZ56">
        <v>41</v>
      </c>
    </row>
    <row r="57" spans="1:52" x14ac:dyDescent="0.3">
      <c r="A57">
        <v>101</v>
      </c>
      <c r="C57" t="s">
        <v>556</v>
      </c>
      <c r="D57" t="s">
        <v>1542</v>
      </c>
      <c r="G57" s="1">
        <v>39525</v>
      </c>
      <c r="H57" t="s">
        <v>534</v>
      </c>
      <c r="I57">
        <v>2008</v>
      </c>
      <c r="J57" s="2">
        <v>0.54166666666666663</v>
      </c>
      <c r="K57" t="s">
        <v>53</v>
      </c>
      <c r="L57" t="s">
        <v>557</v>
      </c>
      <c r="M57" t="s">
        <v>135</v>
      </c>
      <c r="N57" s="4">
        <v>2949965</v>
      </c>
      <c r="O57" t="s">
        <v>216</v>
      </c>
      <c r="P57">
        <v>100</v>
      </c>
      <c r="Q57">
        <v>1</v>
      </c>
      <c r="R57">
        <v>1</v>
      </c>
      <c r="S57">
        <v>2</v>
      </c>
      <c r="T57" t="s">
        <v>70</v>
      </c>
      <c r="U57">
        <v>23</v>
      </c>
      <c r="AN57">
        <v>0</v>
      </c>
      <c r="AO57" t="s">
        <v>558</v>
      </c>
      <c r="AT57" t="s">
        <v>130</v>
      </c>
      <c r="AU57" t="s">
        <v>130</v>
      </c>
      <c r="AW57" t="s">
        <v>559</v>
      </c>
      <c r="AX57">
        <v>28</v>
      </c>
      <c r="AY57">
        <v>28079</v>
      </c>
      <c r="AZ57">
        <v>32</v>
      </c>
    </row>
    <row r="58" spans="1:52" x14ac:dyDescent="0.3">
      <c r="A58">
        <v>105</v>
      </c>
      <c r="B58" s="3">
        <v>261200000000</v>
      </c>
      <c r="C58" t="s">
        <v>422</v>
      </c>
      <c r="D58" t="str">
        <f>IF(ISNUMBER(SEARCH("High",C58)), "High School","")</f>
        <v>High School</v>
      </c>
      <c r="E58">
        <v>2612000</v>
      </c>
      <c r="F58" t="s">
        <v>423</v>
      </c>
      <c r="G58" s="1">
        <v>39861</v>
      </c>
      <c r="H58" t="s">
        <v>565</v>
      </c>
      <c r="I58">
        <v>2009</v>
      </c>
      <c r="J58" s="2">
        <v>0.58333333333333337</v>
      </c>
      <c r="K58" t="s">
        <v>53</v>
      </c>
      <c r="L58" t="s">
        <v>424</v>
      </c>
      <c r="M58" t="s">
        <v>145</v>
      </c>
      <c r="N58" s="4">
        <v>10050811</v>
      </c>
      <c r="O58" t="s">
        <v>56</v>
      </c>
      <c r="P58">
        <v>919</v>
      </c>
      <c r="Q58">
        <v>0</v>
      </c>
      <c r="R58">
        <v>2</v>
      </c>
      <c r="S58">
        <v>2</v>
      </c>
      <c r="T58" t="s">
        <v>70</v>
      </c>
      <c r="U58">
        <v>17</v>
      </c>
      <c r="V58" t="s">
        <v>58</v>
      </c>
      <c r="X58" t="s">
        <v>575</v>
      </c>
      <c r="Y58">
        <v>0</v>
      </c>
      <c r="AG58">
        <v>4</v>
      </c>
      <c r="AH58">
        <v>913</v>
      </c>
      <c r="AI58">
        <v>0</v>
      </c>
      <c r="AJ58">
        <v>0</v>
      </c>
      <c r="AK58">
        <v>2</v>
      </c>
      <c r="AN58">
        <v>1</v>
      </c>
      <c r="AO58" t="s">
        <v>136</v>
      </c>
      <c r="AQ58">
        <v>42.383699999999997</v>
      </c>
      <c r="AR58">
        <v>-83.111500000000007</v>
      </c>
      <c r="AS58">
        <v>57.2</v>
      </c>
      <c r="AT58">
        <v>9</v>
      </c>
      <c r="AU58">
        <v>12</v>
      </c>
      <c r="AV58">
        <v>640</v>
      </c>
      <c r="AW58" t="s">
        <v>425</v>
      </c>
      <c r="AX58">
        <v>26</v>
      </c>
      <c r="AY58">
        <v>26163</v>
      </c>
      <c r="AZ58">
        <v>11</v>
      </c>
    </row>
    <row r="59" spans="1:52" x14ac:dyDescent="0.3">
      <c r="A59">
        <v>115</v>
      </c>
      <c r="B59">
        <v>80480001315</v>
      </c>
      <c r="C59" t="s">
        <v>618</v>
      </c>
      <c r="D59" t="str">
        <f>IF(ISNUMBER(SEARCH("Middle",C59)), "Middle School","")</f>
        <v>Middle School</v>
      </c>
      <c r="E59">
        <v>804800</v>
      </c>
      <c r="F59" t="s">
        <v>619</v>
      </c>
      <c r="G59" s="1">
        <v>40232</v>
      </c>
      <c r="H59" t="s">
        <v>587</v>
      </c>
      <c r="I59">
        <v>2010</v>
      </c>
      <c r="J59" s="2">
        <v>0.63472222222222219</v>
      </c>
      <c r="K59" t="s">
        <v>53</v>
      </c>
      <c r="L59" t="s">
        <v>54</v>
      </c>
      <c r="M59" t="s">
        <v>55</v>
      </c>
      <c r="N59" s="4">
        <v>5812069</v>
      </c>
      <c r="O59" t="s">
        <v>56</v>
      </c>
      <c r="P59">
        <v>516</v>
      </c>
      <c r="Q59">
        <v>0</v>
      </c>
      <c r="R59">
        <v>2</v>
      </c>
      <c r="S59">
        <v>2</v>
      </c>
      <c r="T59" t="s">
        <v>57</v>
      </c>
      <c r="U59">
        <v>32</v>
      </c>
      <c r="V59" t="s">
        <v>58</v>
      </c>
      <c r="W59" t="s">
        <v>59</v>
      </c>
      <c r="Y59">
        <v>0</v>
      </c>
      <c r="AG59">
        <v>436</v>
      </c>
      <c r="AH59">
        <v>7</v>
      </c>
      <c r="AI59">
        <v>46</v>
      </c>
      <c r="AJ59">
        <v>23</v>
      </c>
      <c r="AK59">
        <v>4</v>
      </c>
      <c r="AN59">
        <v>0</v>
      </c>
      <c r="AO59" t="s">
        <v>620</v>
      </c>
      <c r="AQ59">
        <v>39.5869</v>
      </c>
      <c r="AR59">
        <v>-105.102</v>
      </c>
      <c r="AS59">
        <v>28.2</v>
      </c>
      <c r="AT59">
        <v>7</v>
      </c>
      <c r="AU59">
        <v>8</v>
      </c>
      <c r="AV59">
        <v>60</v>
      </c>
      <c r="AW59" t="s">
        <v>64</v>
      </c>
      <c r="AX59">
        <v>8</v>
      </c>
      <c r="AY59">
        <v>8059</v>
      </c>
      <c r="AZ59">
        <v>21</v>
      </c>
    </row>
    <row r="60" spans="1:52" x14ac:dyDescent="0.3">
      <c r="A60">
        <v>121</v>
      </c>
      <c r="B60">
        <v>60750000711</v>
      </c>
      <c r="C60" t="s">
        <v>636</v>
      </c>
      <c r="D60" t="str">
        <f>IF(ISNUMBER(SEARCH("Elementary",C60)), "Elementary School","")</f>
        <v>Elementary School</v>
      </c>
      <c r="E60">
        <v>607500</v>
      </c>
      <c r="F60" t="s">
        <v>637</v>
      </c>
      <c r="G60" s="1">
        <v>40459</v>
      </c>
      <c r="H60" t="s">
        <v>628</v>
      </c>
      <c r="I60">
        <v>2010</v>
      </c>
      <c r="J60" s="2">
        <v>0.5</v>
      </c>
      <c r="K60" t="s">
        <v>95</v>
      </c>
      <c r="L60" t="s">
        <v>638</v>
      </c>
      <c r="M60" t="s">
        <v>121</v>
      </c>
      <c r="N60" s="4">
        <v>39237836</v>
      </c>
      <c r="O60" t="s">
        <v>56</v>
      </c>
      <c r="P60">
        <v>477</v>
      </c>
      <c r="Q60">
        <v>0</v>
      </c>
      <c r="R60">
        <v>2</v>
      </c>
      <c r="S60">
        <v>2</v>
      </c>
      <c r="T60" t="s">
        <v>57</v>
      </c>
      <c r="U60">
        <v>41</v>
      </c>
      <c r="V60" t="s">
        <v>58</v>
      </c>
      <c r="W60" t="s">
        <v>59</v>
      </c>
      <c r="X60" t="s">
        <v>199</v>
      </c>
      <c r="Y60">
        <v>0</v>
      </c>
      <c r="AG60">
        <v>314</v>
      </c>
      <c r="AH60">
        <v>12</v>
      </c>
      <c r="AI60">
        <v>67</v>
      </c>
      <c r="AJ60">
        <v>36</v>
      </c>
      <c r="AK60">
        <v>3</v>
      </c>
      <c r="AL60">
        <v>0</v>
      </c>
      <c r="AM60">
        <v>45</v>
      </c>
      <c r="AN60">
        <v>0</v>
      </c>
      <c r="AO60" t="s">
        <v>639</v>
      </c>
      <c r="AQ60">
        <v>33.148359999999997</v>
      </c>
      <c r="AR60">
        <v>-117.311227</v>
      </c>
      <c r="AT60" t="s">
        <v>124</v>
      </c>
      <c r="AU60">
        <v>5</v>
      </c>
      <c r="AV60">
        <v>45</v>
      </c>
      <c r="AW60" t="s">
        <v>213</v>
      </c>
      <c r="AX60">
        <v>6</v>
      </c>
      <c r="AY60">
        <v>6073</v>
      </c>
      <c r="AZ60">
        <v>12</v>
      </c>
    </row>
    <row r="61" spans="1:52" x14ac:dyDescent="0.3">
      <c r="A61">
        <v>124</v>
      </c>
      <c r="B61">
        <v>62271003034</v>
      </c>
      <c r="C61" t="s">
        <v>267</v>
      </c>
      <c r="D61" t="str">
        <f>IF(ISNUMBER(SEARCH("High",C61)), "High School","")</f>
        <v>High School</v>
      </c>
      <c r="E61">
        <v>622710</v>
      </c>
      <c r="F61" t="s">
        <v>240</v>
      </c>
      <c r="G61" s="1">
        <v>40561</v>
      </c>
      <c r="H61" t="s">
        <v>628</v>
      </c>
      <c r="I61">
        <v>2011</v>
      </c>
      <c r="J61" s="2">
        <v>0.44444444444444442</v>
      </c>
      <c r="K61" t="s">
        <v>53</v>
      </c>
      <c r="L61" t="s">
        <v>241</v>
      </c>
      <c r="M61" t="s">
        <v>121</v>
      </c>
      <c r="N61" s="4">
        <v>39237836</v>
      </c>
      <c r="O61" t="s">
        <v>56</v>
      </c>
      <c r="P61">
        <v>2299</v>
      </c>
      <c r="Q61">
        <v>0</v>
      </c>
      <c r="R61">
        <v>2</v>
      </c>
      <c r="S61">
        <v>2</v>
      </c>
      <c r="T61" t="s">
        <v>114</v>
      </c>
      <c r="U61">
        <v>17</v>
      </c>
      <c r="V61" t="s">
        <v>58</v>
      </c>
      <c r="X61" t="s">
        <v>60</v>
      </c>
      <c r="Y61">
        <v>0</v>
      </c>
      <c r="AG61">
        <v>22</v>
      </c>
      <c r="AH61">
        <v>610</v>
      </c>
      <c r="AI61">
        <v>1490</v>
      </c>
      <c r="AJ61">
        <v>140</v>
      </c>
      <c r="AK61">
        <v>9</v>
      </c>
      <c r="AN61">
        <v>0</v>
      </c>
      <c r="AO61" t="s">
        <v>649</v>
      </c>
      <c r="AQ61">
        <v>33.866371999999998</v>
      </c>
      <c r="AR61">
        <v>-118.29633</v>
      </c>
      <c r="AT61">
        <v>8</v>
      </c>
      <c r="AU61">
        <v>12</v>
      </c>
      <c r="AV61">
        <v>1556</v>
      </c>
      <c r="AW61" t="s">
        <v>243</v>
      </c>
      <c r="AX61">
        <v>6</v>
      </c>
      <c r="AY61">
        <v>6037</v>
      </c>
      <c r="AZ61">
        <v>13</v>
      </c>
    </row>
    <row r="62" spans="1:52" x14ac:dyDescent="0.3">
      <c r="A62">
        <v>128</v>
      </c>
      <c r="B62" s="3">
        <v>482364000000</v>
      </c>
      <c r="C62" t="s">
        <v>663</v>
      </c>
      <c r="D62" t="str">
        <f>IF(ISNUMBER(SEARCH("Elementary",C62)), "Elementary School","")</f>
        <v>Elementary School</v>
      </c>
      <c r="E62">
        <v>4823640</v>
      </c>
      <c r="F62" t="s">
        <v>664</v>
      </c>
      <c r="G62" s="1">
        <v>40652</v>
      </c>
      <c r="H62" t="s">
        <v>628</v>
      </c>
      <c r="I62">
        <v>2011</v>
      </c>
      <c r="J62" s="2">
        <v>0.43055555555555558</v>
      </c>
      <c r="K62" t="s">
        <v>53</v>
      </c>
      <c r="L62" t="s">
        <v>665</v>
      </c>
      <c r="M62" t="s">
        <v>205</v>
      </c>
      <c r="N62" s="4">
        <v>29527941</v>
      </c>
      <c r="O62" t="s">
        <v>56</v>
      </c>
      <c r="P62">
        <v>462</v>
      </c>
      <c r="Q62">
        <v>0</v>
      </c>
      <c r="R62">
        <v>2</v>
      </c>
      <c r="S62">
        <v>2</v>
      </c>
      <c r="T62" t="s">
        <v>114</v>
      </c>
      <c r="U62">
        <v>6</v>
      </c>
      <c r="V62" t="s">
        <v>58</v>
      </c>
      <c r="X62" t="s">
        <v>60</v>
      </c>
      <c r="Y62">
        <v>0</v>
      </c>
      <c r="AG62">
        <v>1</v>
      </c>
      <c r="AH62">
        <v>301</v>
      </c>
      <c r="AI62">
        <v>145</v>
      </c>
      <c r="AJ62">
        <v>2</v>
      </c>
      <c r="AK62">
        <v>9</v>
      </c>
      <c r="AL62">
        <v>1</v>
      </c>
      <c r="AM62">
        <v>3</v>
      </c>
      <c r="AN62">
        <v>0</v>
      </c>
      <c r="AO62" t="s">
        <v>666</v>
      </c>
      <c r="AP62" t="s">
        <v>667</v>
      </c>
      <c r="AQ62">
        <v>29.800325999999998</v>
      </c>
      <c r="AR62">
        <v>-95.341835000000003</v>
      </c>
      <c r="AS62">
        <v>27.32</v>
      </c>
      <c r="AT62" t="s">
        <v>130</v>
      </c>
      <c r="AU62">
        <v>5</v>
      </c>
      <c r="AV62">
        <v>263</v>
      </c>
      <c r="AW62" t="s">
        <v>668</v>
      </c>
      <c r="AX62">
        <v>48</v>
      </c>
      <c r="AY62">
        <v>48201</v>
      </c>
      <c r="AZ62">
        <v>11</v>
      </c>
    </row>
    <row r="63" spans="1:52" x14ac:dyDescent="0.3">
      <c r="A63">
        <v>142</v>
      </c>
      <c r="B63">
        <v>63873006511</v>
      </c>
      <c r="C63" t="s">
        <v>728</v>
      </c>
      <c r="D63" t="str">
        <f>IF(ISNUMBER(SEARCH("High",C63)), "High School","")</f>
        <v>High School</v>
      </c>
      <c r="E63">
        <v>638730</v>
      </c>
      <c r="F63" t="s">
        <v>729</v>
      </c>
      <c r="G63" s="1">
        <v>41284</v>
      </c>
      <c r="H63" t="s">
        <v>713</v>
      </c>
      <c r="I63">
        <v>2013</v>
      </c>
      <c r="J63" s="2">
        <v>0.375</v>
      </c>
      <c r="K63" t="s">
        <v>67</v>
      </c>
      <c r="L63" t="s">
        <v>730</v>
      </c>
      <c r="M63" t="s">
        <v>121</v>
      </c>
      <c r="N63" s="4">
        <v>39237836</v>
      </c>
      <c r="O63" t="s">
        <v>56</v>
      </c>
      <c r="P63">
        <v>939</v>
      </c>
      <c r="Q63">
        <v>0</v>
      </c>
      <c r="R63">
        <v>2</v>
      </c>
      <c r="S63">
        <v>2</v>
      </c>
      <c r="T63" t="s">
        <v>70</v>
      </c>
      <c r="U63">
        <v>16</v>
      </c>
      <c r="V63" t="s">
        <v>58</v>
      </c>
      <c r="W63" t="s">
        <v>59</v>
      </c>
      <c r="X63" t="s">
        <v>60</v>
      </c>
      <c r="Y63">
        <v>0</v>
      </c>
      <c r="AG63">
        <v>487</v>
      </c>
      <c r="AH63">
        <v>9</v>
      </c>
      <c r="AI63">
        <v>384</v>
      </c>
      <c r="AJ63">
        <v>6</v>
      </c>
      <c r="AK63">
        <v>22</v>
      </c>
      <c r="AL63">
        <v>12</v>
      </c>
      <c r="AM63">
        <v>19</v>
      </c>
      <c r="AN63">
        <v>0</v>
      </c>
      <c r="AO63" t="s">
        <v>731</v>
      </c>
      <c r="AP63" t="s">
        <v>732</v>
      </c>
      <c r="AQ63">
        <v>35.146256000000001</v>
      </c>
      <c r="AR63">
        <v>-119.46038299999999</v>
      </c>
      <c r="AS63">
        <v>62.89</v>
      </c>
      <c r="AT63">
        <v>9</v>
      </c>
      <c r="AU63">
        <v>12</v>
      </c>
      <c r="AV63">
        <v>502</v>
      </c>
      <c r="AW63" t="s">
        <v>733</v>
      </c>
      <c r="AX63">
        <v>6</v>
      </c>
      <c r="AY63">
        <v>6029</v>
      </c>
      <c r="AZ63">
        <v>32</v>
      </c>
    </row>
    <row r="64" spans="1:52" x14ac:dyDescent="0.3">
      <c r="A64">
        <v>148</v>
      </c>
      <c r="B64" t="s">
        <v>758</v>
      </c>
      <c r="C64" t="s">
        <v>759</v>
      </c>
      <c r="D64" t="s">
        <v>1542</v>
      </c>
      <c r="G64" s="1">
        <v>41551</v>
      </c>
      <c r="H64" t="s">
        <v>749</v>
      </c>
      <c r="I64">
        <v>2013</v>
      </c>
      <c r="J64" s="2">
        <v>0.58333333333333337</v>
      </c>
      <c r="K64" t="s">
        <v>95</v>
      </c>
      <c r="L64" t="s">
        <v>760</v>
      </c>
      <c r="M64" t="s">
        <v>113</v>
      </c>
      <c r="N64" s="4">
        <v>21781128</v>
      </c>
      <c r="O64" t="s">
        <v>216</v>
      </c>
      <c r="P64">
        <v>331</v>
      </c>
      <c r="Q64">
        <v>0</v>
      </c>
      <c r="R64">
        <v>2</v>
      </c>
      <c r="S64">
        <v>2</v>
      </c>
      <c r="T64" t="s">
        <v>70</v>
      </c>
      <c r="X64" t="s">
        <v>199</v>
      </c>
      <c r="Y64">
        <v>0</v>
      </c>
      <c r="AG64">
        <v>3</v>
      </c>
      <c r="AH64">
        <v>259</v>
      </c>
      <c r="AI64">
        <v>4</v>
      </c>
      <c r="AJ64">
        <v>0</v>
      </c>
      <c r="AK64">
        <v>0</v>
      </c>
      <c r="AL64">
        <v>65</v>
      </c>
      <c r="AM64">
        <v>0</v>
      </c>
      <c r="AN64">
        <v>0</v>
      </c>
      <c r="AQ64">
        <v>28.575859999999999</v>
      </c>
      <c r="AR64">
        <v>-81.475050999999993</v>
      </c>
      <c r="AS64">
        <v>22</v>
      </c>
      <c r="AT64" t="s">
        <v>761</v>
      </c>
      <c r="AU64">
        <v>12</v>
      </c>
      <c r="AW64" t="s">
        <v>474</v>
      </c>
      <c r="AX64">
        <v>12</v>
      </c>
      <c r="AY64">
        <v>12095</v>
      </c>
      <c r="AZ64">
        <v>21</v>
      </c>
    </row>
    <row r="65" spans="1:52" x14ac:dyDescent="0.3">
      <c r="A65">
        <v>157</v>
      </c>
      <c r="B65" s="3">
        <v>420008000000</v>
      </c>
      <c r="C65" t="s">
        <v>793</v>
      </c>
      <c r="D65" t="s">
        <v>1539</v>
      </c>
      <c r="E65">
        <v>4200078</v>
      </c>
      <c r="F65" t="s">
        <v>794</v>
      </c>
      <c r="G65" s="1">
        <v>41656</v>
      </c>
      <c r="H65" t="s">
        <v>749</v>
      </c>
      <c r="I65">
        <v>2014</v>
      </c>
      <c r="J65" s="2">
        <v>0.63888888888888895</v>
      </c>
      <c r="K65" t="s">
        <v>95</v>
      </c>
      <c r="L65" t="s">
        <v>83</v>
      </c>
      <c r="M65" t="s">
        <v>84</v>
      </c>
      <c r="N65" s="4">
        <v>12964056</v>
      </c>
      <c r="O65" t="s">
        <v>56</v>
      </c>
      <c r="P65">
        <v>680</v>
      </c>
      <c r="Q65">
        <v>0</v>
      </c>
      <c r="R65">
        <v>2</v>
      </c>
      <c r="S65">
        <v>2</v>
      </c>
      <c r="T65" t="s">
        <v>98</v>
      </c>
      <c r="U65">
        <v>17</v>
      </c>
      <c r="V65" t="s">
        <v>58</v>
      </c>
      <c r="W65" t="s">
        <v>146</v>
      </c>
      <c r="X65" t="s">
        <v>60</v>
      </c>
      <c r="Y65">
        <v>0</v>
      </c>
      <c r="AG65">
        <v>0</v>
      </c>
      <c r="AH65">
        <v>675</v>
      </c>
      <c r="AI65">
        <v>5</v>
      </c>
      <c r="AJ65">
        <v>0</v>
      </c>
      <c r="AK65">
        <v>0</v>
      </c>
      <c r="AL65">
        <v>0</v>
      </c>
      <c r="AM65">
        <v>0</v>
      </c>
      <c r="AN65">
        <v>1</v>
      </c>
      <c r="AO65" t="s">
        <v>136</v>
      </c>
      <c r="AP65" t="s">
        <v>86</v>
      </c>
      <c r="AQ65">
        <v>40.033099999999997</v>
      </c>
      <c r="AR65">
        <v>-75.144599999999997</v>
      </c>
      <c r="AS65">
        <v>42</v>
      </c>
      <c r="AT65">
        <v>9</v>
      </c>
      <c r="AU65">
        <v>12</v>
      </c>
      <c r="AV65">
        <v>512</v>
      </c>
      <c r="AW65" t="s">
        <v>87</v>
      </c>
      <c r="AX65">
        <v>42</v>
      </c>
      <c r="AY65">
        <v>42101</v>
      </c>
      <c r="AZ65">
        <v>11</v>
      </c>
    </row>
    <row r="66" spans="1:52" x14ac:dyDescent="0.3">
      <c r="A66">
        <v>165</v>
      </c>
      <c r="B66" s="3">
        <v>411052000000</v>
      </c>
      <c r="C66" t="s">
        <v>827</v>
      </c>
      <c r="D66" t="str">
        <f>IF(ISNUMBER(SEARCH("High",C66)), "High School","")</f>
        <v>High School</v>
      </c>
      <c r="E66">
        <v>4110520</v>
      </c>
      <c r="F66" t="s">
        <v>828</v>
      </c>
      <c r="G66" s="1">
        <v>41800</v>
      </c>
      <c r="H66" t="s">
        <v>749</v>
      </c>
      <c r="I66">
        <v>2014</v>
      </c>
      <c r="J66" s="2">
        <v>0.33819444444444446</v>
      </c>
      <c r="K66" t="s">
        <v>53</v>
      </c>
      <c r="L66" t="s">
        <v>829</v>
      </c>
      <c r="M66" t="s">
        <v>459</v>
      </c>
      <c r="N66" s="4">
        <v>4246155</v>
      </c>
      <c r="O66" t="s">
        <v>56</v>
      </c>
      <c r="P66">
        <v>2806</v>
      </c>
      <c r="Q66">
        <v>1</v>
      </c>
      <c r="R66">
        <v>1</v>
      </c>
      <c r="S66">
        <v>2</v>
      </c>
      <c r="T66" t="s">
        <v>57</v>
      </c>
      <c r="U66">
        <v>15</v>
      </c>
      <c r="V66" t="s">
        <v>58</v>
      </c>
      <c r="W66" t="s">
        <v>59</v>
      </c>
      <c r="X66" t="s">
        <v>60</v>
      </c>
      <c r="Y66">
        <v>1</v>
      </c>
      <c r="Z66" t="s">
        <v>61</v>
      </c>
      <c r="AG66">
        <v>1208</v>
      </c>
      <c r="AH66">
        <v>231</v>
      </c>
      <c r="AI66">
        <v>917</v>
      </c>
      <c r="AJ66">
        <v>263</v>
      </c>
      <c r="AK66">
        <v>21</v>
      </c>
      <c r="AL66">
        <v>41</v>
      </c>
      <c r="AM66">
        <v>125</v>
      </c>
      <c r="AN66">
        <v>1</v>
      </c>
      <c r="AO66" t="s">
        <v>830</v>
      </c>
      <c r="AP66" t="s">
        <v>831</v>
      </c>
      <c r="AQ66">
        <v>45.528500000000001</v>
      </c>
      <c r="AR66">
        <v>-122.40260000000001</v>
      </c>
      <c r="AS66">
        <v>106.78</v>
      </c>
      <c r="AT66">
        <v>9</v>
      </c>
      <c r="AU66">
        <v>12</v>
      </c>
      <c r="AV66">
        <v>1744</v>
      </c>
      <c r="AW66" t="s">
        <v>523</v>
      </c>
      <c r="AX66">
        <v>41</v>
      </c>
      <c r="AY66">
        <v>41051</v>
      </c>
      <c r="AZ66">
        <v>21</v>
      </c>
    </row>
    <row r="67" spans="1:52" x14ac:dyDescent="0.3">
      <c r="A67">
        <v>185</v>
      </c>
      <c r="B67" s="3">
        <v>390438000000</v>
      </c>
      <c r="C67" t="s">
        <v>916</v>
      </c>
      <c r="D67" t="s">
        <v>1542</v>
      </c>
      <c r="E67">
        <v>3904380</v>
      </c>
      <c r="F67" t="s">
        <v>917</v>
      </c>
      <c r="G67" s="1">
        <v>42656</v>
      </c>
      <c r="H67" t="s">
        <v>905</v>
      </c>
      <c r="I67">
        <v>2016</v>
      </c>
      <c r="J67" s="2">
        <v>0.61111111111111105</v>
      </c>
      <c r="K67" t="s">
        <v>67</v>
      </c>
      <c r="L67" t="s">
        <v>918</v>
      </c>
      <c r="M67" t="s">
        <v>180</v>
      </c>
      <c r="N67" s="4">
        <v>11780017</v>
      </c>
      <c r="O67" t="s">
        <v>56</v>
      </c>
      <c r="P67">
        <v>719</v>
      </c>
      <c r="Q67">
        <v>0</v>
      </c>
      <c r="R67">
        <v>2</v>
      </c>
      <c r="S67">
        <v>2</v>
      </c>
      <c r="T67" t="s">
        <v>70</v>
      </c>
      <c r="V67" t="s">
        <v>58</v>
      </c>
      <c r="Y67">
        <v>0</v>
      </c>
      <c r="AG67">
        <v>56</v>
      </c>
      <c r="AH67">
        <v>582</v>
      </c>
      <c r="AI67">
        <v>35</v>
      </c>
      <c r="AJ67">
        <v>2</v>
      </c>
      <c r="AK67">
        <v>1</v>
      </c>
      <c r="AL67">
        <v>0</v>
      </c>
      <c r="AM67">
        <v>43</v>
      </c>
      <c r="AN67">
        <v>1</v>
      </c>
      <c r="AQ67">
        <v>40.009520000000002</v>
      </c>
      <c r="AR67">
        <v>-82.974011000000004</v>
      </c>
      <c r="AS67">
        <v>50</v>
      </c>
      <c r="AT67">
        <v>7</v>
      </c>
      <c r="AU67">
        <v>12</v>
      </c>
      <c r="AV67">
        <v>619</v>
      </c>
      <c r="AW67" t="s">
        <v>919</v>
      </c>
      <c r="AX67">
        <v>39</v>
      </c>
      <c r="AY67">
        <v>39049</v>
      </c>
      <c r="AZ67">
        <v>11</v>
      </c>
    </row>
    <row r="68" spans="1:52" x14ac:dyDescent="0.3">
      <c r="A68">
        <v>190</v>
      </c>
      <c r="B68" s="3">
        <v>390462000000</v>
      </c>
      <c r="C68" t="s">
        <v>939</v>
      </c>
      <c r="D68" t="str">
        <f>IF(ISNUMBER(SEARCH("High",C68)), "High School","")</f>
        <v>High School</v>
      </c>
      <c r="E68">
        <v>3904621</v>
      </c>
      <c r="F68" t="s">
        <v>940</v>
      </c>
      <c r="G68" s="1">
        <v>42755</v>
      </c>
      <c r="H68" t="s">
        <v>905</v>
      </c>
      <c r="I68">
        <v>2017</v>
      </c>
      <c r="J68" s="2">
        <v>0.31666666666666665</v>
      </c>
      <c r="K68" t="s">
        <v>95</v>
      </c>
      <c r="L68" t="s">
        <v>941</v>
      </c>
      <c r="M68" t="s">
        <v>180</v>
      </c>
      <c r="N68" s="4">
        <v>11780017</v>
      </c>
      <c r="O68" t="s">
        <v>56</v>
      </c>
      <c r="P68">
        <v>622</v>
      </c>
      <c r="Q68">
        <v>0</v>
      </c>
      <c r="R68">
        <v>2</v>
      </c>
      <c r="S68">
        <v>2</v>
      </c>
      <c r="T68" t="s">
        <v>57</v>
      </c>
      <c r="U68">
        <v>17</v>
      </c>
      <c r="V68" t="s">
        <v>58</v>
      </c>
      <c r="W68" t="s">
        <v>59</v>
      </c>
      <c r="X68" t="s">
        <v>60</v>
      </c>
      <c r="Y68">
        <v>0</v>
      </c>
      <c r="AG68">
        <v>590</v>
      </c>
      <c r="AH68">
        <v>1</v>
      </c>
      <c r="AI68">
        <v>3</v>
      </c>
      <c r="AJ68">
        <v>3</v>
      </c>
      <c r="AK68">
        <v>1</v>
      </c>
      <c r="AL68">
        <v>1</v>
      </c>
      <c r="AM68">
        <v>23</v>
      </c>
      <c r="AN68">
        <v>0</v>
      </c>
      <c r="AO68" t="s">
        <v>942</v>
      </c>
      <c r="AP68" t="s">
        <v>943</v>
      </c>
      <c r="AQ68">
        <v>40.215940000000003</v>
      </c>
      <c r="AR68">
        <v>-83.756760999999997</v>
      </c>
      <c r="AS68">
        <v>38.4</v>
      </c>
      <c r="AT68">
        <v>6</v>
      </c>
      <c r="AU68">
        <v>12</v>
      </c>
      <c r="AV68">
        <v>0</v>
      </c>
      <c r="AW68" t="s">
        <v>944</v>
      </c>
      <c r="AX68">
        <v>39</v>
      </c>
      <c r="AY68">
        <v>39021</v>
      </c>
      <c r="AZ68">
        <v>42</v>
      </c>
    </row>
    <row r="69" spans="1:52" x14ac:dyDescent="0.3">
      <c r="A69">
        <v>195</v>
      </c>
      <c r="B69" s="3">
        <v>170993000000</v>
      </c>
      <c r="C69" t="s">
        <v>962</v>
      </c>
      <c r="D69" t="str">
        <f>IF(ISNUMBER(SEARCH("Elementary",C69)), "Elementary School","")</f>
        <v>Elementary School</v>
      </c>
      <c r="E69">
        <v>1709930</v>
      </c>
      <c r="F69" t="s">
        <v>963</v>
      </c>
      <c r="G69" s="1">
        <v>42902</v>
      </c>
      <c r="H69" t="s">
        <v>905</v>
      </c>
      <c r="I69">
        <v>2017</v>
      </c>
      <c r="J69" s="2">
        <v>0.57708333333333328</v>
      </c>
      <c r="K69" t="s">
        <v>95</v>
      </c>
      <c r="L69" t="s">
        <v>128</v>
      </c>
      <c r="M69" t="s">
        <v>129</v>
      </c>
      <c r="N69" s="4">
        <v>12671469</v>
      </c>
      <c r="O69" t="s">
        <v>56</v>
      </c>
      <c r="P69">
        <v>280</v>
      </c>
      <c r="Q69">
        <v>0</v>
      </c>
      <c r="R69">
        <v>2</v>
      </c>
      <c r="S69">
        <v>2</v>
      </c>
      <c r="T69" t="s">
        <v>70</v>
      </c>
      <c r="V69" t="s">
        <v>58</v>
      </c>
      <c r="W69" t="s">
        <v>146</v>
      </c>
      <c r="Y69">
        <v>0</v>
      </c>
      <c r="AG69">
        <v>0</v>
      </c>
      <c r="AH69">
        <v>275</v>
      </c>
      <c r="AI69">
        <v>4</v>
      </c>
      <c r="AJ69">
        <v>0</v>
      </c>
      <c r="AK69">
        <v>0</v>
      </c>
      <c r="AL69">
        <v>0</v>
      </c>
      <c r="AM69">
        <v>1</v>
      </c>
      <c r="AN69">
        <v>1</v>
      </c>
      <c r="AQ69">
        <v>41.726922000000002</v>
      </c>
      <c r="AR69">
        <v>-87.575183999999993</v>
      </c>
      <c r="AS69">
        <v>14.1</v>
      </c>
      <c r="AT69" t="s">
        <v>130</v>
      </c>
      <c r="AU69">
        <v>8</v>
      </c>
      <c r="AV69">
        <v>263</v>
      </c>
      <c r="AW69" t="s">
        <v>131</v>
      </c>
      <c r="AX69">
        <v>17</v>
      </c>
      <c r="AY69">
        <v>17031</v>
      </c>
      <c r="AZ69">
        <v>11</v>
      </c>
    </row>
    <row r="70" spans="1:52" x14ac:dyDescent="0.3">
      <c r="A70">
        <v>200</v>
      </c>
      <c r="B70" s="3">
        <v>130228000000</v>
      </c>
      <c r="C70" t="s">
        <v>820</v>
      </c>
      <c r="D70" t="str">
        <f>IF(ISNUMBER(SEARCH("High",C70)), "High School","")</f>
        <v>High School</v>
      </c>
      <c r="E70">
        <v>1302280</v>
      </c>
      <c r="F70" t="s">
        <v>738</v>
      </c>
      <c r="G70" s="1">
        <v>43048</v>
      </c>
      <c r="H70" t="s">
        <v>965</v>
      </c>
      <c r="I70">
        <v>2017</v>
      </c>
      <c r="J70" s="2">
        <v>0.64236111111111105</v>
      </c>
      <c r="K70" t="s">
        <v>67</v>
      </c>
      <c r="L70" t="s">
        <v>821</v>
      </c>
      <c r="M70" t="s">
        <v>77</v>
      </c>
      <c r="N70" s="4">
        <v>10799566</v>
      </c>
      <c r="O70" t="s">
        <v>56</v>
      </c>
      <c r="P70">
        <v>1547</v>
      </c>
      <c r="Q70">
        <v>0</v>
      </c>
      <c r="R70">
        <v>2</v>
      </c>
      <c r="S70">
        <v>2</v>
      </c>
      <c r="T70" t="s">
        <v>114</v>
      </c>
      <c r="Y70">
        <v>0</v>
      </c>
      <c r="AG70">
        <v>6</v>
      </c>
      <c r="AH70">
        <v>1478</v>
      </c>
      <c r="AI70">
        <v>49</v>
      </c>
      <c r="AJ70">
        <v>2</v>
      </c>
      <c r="AK70">
        <v>1</v>
      </c>
      <c r="AL70">
        <v>0</v>
      </c>
      <c r="AM70">
        <v>11</v>
      </c>
      <c r="AN70">
        <v>1</v>
      </c>
      <c r="AO70" t="s">
        <v>737</v>
      </c>
      <c r="AQ70">
        <v>33.592970000000001</v>
      </c>
      <c r="AR70">
        <v>-84.517600000000002</v>
      </c>
      <c r="AS70">
        <v>106.9</v>
      </c>
      <c r="AT70">
        <v>9</v>
      </c>
      <c r="AU70">
        <v>12</v>
      </c>
      <c r="AV70">
        <v>1544</v>
      </c>
      <c r="AW70" t="s">
        <v>738</v>
      </c>
      <c r="AX70">
        <v>13</v>
      </c>
      <c r="AY70">
        <v>13121</v>
      </c>
      <c r="AZ70">
        <v>21</v>
      </c>
    </row>
    <row r="71" spans="1:52" x14ac:dyDescent="0.3">
      <c r="A71">
        <v>201</v>
      </c>
      <c r="B71">
        <v>60978004178</v>
      </c>
      <c r="C71" t="s">
        <v>980</v>
      </c>
      <c r="D71" t="str">
        <f>IF(ISNUMBER(SEARCH("Elementary",C71)), "Elementary School","")</f>
        <v>Elementary School</v>
      </c>
      <c r="E71">
        <v>609780</v>
      </c>
      <c r="F71" t="s">
        <v>981</v>
      </c>
      <c r="G71" s="1">
        <v>43053</v>
      </c>
      <c r="H71" t="s">
        <v>965</v>
      </c>
      <c r="I71">
        <v>2017</v>
      </c>
      <c r="J71" s="2">
        <v>0.3263888888888889</v>
      </c>
      <c r="K71" t="s">
        <v>53</v>
      </c>
      <c r="L71" t="s">
        <v>982</v>
      </c>
      <c r="M71" t="s">
        <v>121</v>
      </c>
      <c r="N71" s="4">
        <v>39237836</v>
      </c>
      <c r="O71" t="s">
        <v>56</v>
      </c>
      <c r="P71">
        <v>101</v>
      </c>
      <c r="Q71">
        <v>0</v>
      </c>
      <c r="R71">
        <v>2</v>
      </c>
      <c r="S71">
        <v>2</v>
      </c>
      <c r="T71" t="s">
        <v>220</v>
      </c>
      <c r="U71">
        <v>44</v>
      </c>
      <c r="V71" t="s">
        <v>58</v>
      </c>
      <c r="W71" t="s">
        <v>59</v>
      </c>
      <c r="X71" t="s">
        <v>983</v>
      </c>
      <c r="Y71">
        <v>1</v>
      </c>
      <c r="Z71" t="s">
        <v>61</v>
      </c>
      <c r="AG71">
        <v>44</v>
      </c>
      <c r="AH71">
        <v>2</v>
      </c>
      <c r="AI71">
        <v>49</v>
      </c>
      <c r="AJ71">
        <v>3</v>
      </c>
      <c r="AK71">
        <v>2</v>
      </c>
      <c r="AL71">
        <v>0</v>
      </c>
      <c r="AM71">
        <v>1</v>
      </c>
      <c r="AN71">
        <v>0</v>
      </c>
      <c r="AO71" t="s">
        <v>984</v>
      </c>
      <c r="AP71" t="s">
        <v>985</v>
      </c>
      <c r="AQ71">
        <v>40.015715999999998</v>
      </c>
      <c r="AR71">
        <v>-122.398455</v>
      </c>
      <c r="AS71">
        <v>5.0999999999999996</v>
      </c>
      <c r="AT71" t="s">
        <v>124</v>
      </c>
      <c r="AU71">
        <v>5</v>
      </c>
      <c r="AV71">
        <v>84</v>
      </c>
      <c r="AW71" t="s">
        <v>986</v>
      </c>
      <c r="AX71">
        <v>6</v>
      </c>
      <c r="AY71">
        <v>6103</v>
      </c>
      <c r="AZ71">
        <v>43</v>
      </c>
    </row>
    <row r="72" spans="1:52" x14ac:dyDescent="0.3">
      <c r="A72">
        <v>202</v>
      </c>
      <c r="B72" s="3">
        <v>350015000000</v>
      </c>
      <c r="C72" t="s">
        <v>987</v>
      </c>
      <c r="D72" t="str">
        <f>IF(ISNUMBER(SEARCH("High",C72)), "High School","")</f>
        <v>High School</v>
      </c>
      <c r="E72">
        <v>3500150</v>
      </c>
      <c r="F72" t="s">
        <v>988</v>
      </c>
      <c r="G72" s="1">
        <v>43076</v>
      </c>
      <c r="H72" t="s">
        <v>965</v>
      </c>
      <c r="I72">
        <v>2017</v>
      </c>
      <c r="J72" s="2">
        <v>0.33611111111111108</v>
      </c>
      <c r="K72" t="s">
        <v>67</v>
      </c>
      <c r="L72" t="s">
        <v>989</v>
      </c>
      <c r="M72" t="s">
        <v>97</v>
      </c>
      <c r="N72" s="4">
        <v>2115877</v>
      </c>
      <c r="O72" t="s">
        <v>56</v>
      </c>
      <c r="P72">
        <v>905</v>
      </c>
      <c r="Q72">
        <v>2</v>
      </c>
      <c r="R72">
        <v>0</v>
      </c>
      <c r="S72">
        <v>2</v>
      </c>
      <c r="T72" t="s">
        <v>57</v>
      </c>
      <c r="U72">
        <v>21</v>
      </c>
      <c r="V72" t="s">
        <v>58</v>
      </c>
      <c r="W72" t="s">
        <v>59</v>
      </c>
      <c r="X72" t="s">
        <v>381</v>
      </c>
      <c r="Y72">
        <v>1</v>
      </c>
      <c r="Z72" t="s">
        <v>61</v>
      </c>
      <c r="AG72">
        <v>495</v>
      </c>
      <c r="AH72">
        <v>7</v>
      </c>
      <c r="AI72">
        <v>225</v>
      </c>
      <c r="AJ72">
        <v>2</v>
      </c>
      <c r="AK72">
        <v>170</v>
      </c>
      <c r="AL72">
        <v>2</v>
      </c>
      <c r="AM72">
        <v>4</v>
      </c>
      <c r="AN72">
        <v>0</v>
      </c>
      <c r="AO72" t="s">
        <v>990</v>
      </c>
      <c r="AP72" t="s">
        <v>155</v>
      </c>
      <c r="AQ72">
        <v>36.820644000000001</v>
      </c>
      <c r="AR72">
        <v>-107.990379</v>
      </c>
      <c r="AS72">
        <v>52.5</v>
      </c>
      <c r="AT72">
        <v>9</v>
      </c>
      <c r="AU72">
        <v>12</v>
      </c>
      <c r="AV72">
        <v>432</v>
      </c>
      <c r="AW72" t="s">
        <v>991</v>
      </c>
      <c r="AX72">
        <v>35</v>
      </c>
      <c r="AY72">
        <v>35045</v>
      </c>
      <c r="AZ72">
        <v>31</v>
      </c>
    </row>
    <row r="73" spans="1:52" x14ac:dyDescent="0.3">
      <c r="A73">
        <v>215</v>
      </c>
      <c r="B73" s="3">
        <v>240060000000</v>
      </c>
      <c r="C73" t="s">
        <v>1028</v>
      </c>
      <c r="D73" t="str">
        <f>IF(ISNUMBER(SEARCH("High",C73)), "High School","")</f>
        <v>High School</v>
      </c>
      <c r="E73">
        <v>2400600</v>
      </c>
      <c r="F73" t="s">
        <v>1029</v>
      </c>
      <c r="G73" s="1">
        <v>43179</v>
      </c>
      <c r="H73" t="s">
        <v>965</v>
      </c>
      <c r="I73">
        <v>2018</v>
      </c>
      <c r="J73" s="2">
        <v>0.3298611111111111</v>
      </c>
      <c r="K73" t="s">
        <v>53</v>
      </c>
      <c r="L73" t="s">
        <v>1030</v>
      </c>
      <c r="M73" t="s">
        <v>198</v>
      </c>
      <c r="N73" s="4">
        <v>6165129</v>
      </c>
      <c r="O73" t="s">
        <v>56</v>
      </c>
      <c r="P73">
        <v>1535</v>
      </c>
      <c r="Q73">
        <v>1</v>
      </c>
      <c r="R73">
        <v>1</v>
      </c>
      <c r="S73">
        <v>2</v>
      </c>
      <c r="T73" t="s">
        <v>70</v>
      </c>
      <c r="U73">
        <v>17</v>
      </c>
      <c r="V73" t="s">
        <v>58</v>
      </c>
      <c r="W73" t="s">
        <v>59</v>
      </c>
      <c r="X73" t="s">
        <v>60</v>
      </c>
      <c r="Y73">
        <v>1</v>
      </c>
      <c r="Z73" t="s">
        <v>61</v>
      </c>
      <c r="AG73">
        <v>657</v>
      </c>
      <c r="AH73">
        <v>577</v>
      </c>
      <c r="AI73">
        <v>121</v>
      </c>
      <c r="AJ73">
        <v>76</v>
      </c>
      <c r="AK73">
        <v>4</v>
      </c>
      <c r="AL73">
        <v>1</v>
      </c>
      <c r="AM73">
        <v>99</v>
      </c>
      <c r="AN73">
        <v>1</v>
      </c>
      <c r="AO73" t="s">
        <v>1031</v>
      </c>
      <c r="AP73" t="s">
        <v>108</v>
      </c>
      <c r="AQ73">
        <v>38.247430000000001</v>
      </c>
      <c r="AR73">
        <v>-76.487499999999997</v>
      </c>
      <c r="AS73">
        <v>86.3</v>
      </c>
      <c r="AT73">
        <v>9</v>
      </c>
      <c r="AU73">
        <v>12</v>
      </c>
      <c r="AV73">
        <v>554</v>
      </c>
      <c r="AW73" t="s">
        <v>1032</v>
      </c>
      <c r="AX73">
        <v>24</v>
      </c>
      <c r="AY73">
        <v>24037</v>
      </c>
      <c r="AZ73">
        <v>23</v>
      </c>
    </row>
    <row r="74" spans="1:52" x14ac:dyDescent="0.3">
      <c r="A74">
        <v>221</v>
      </c>
      <c r="B74" s="3">
        <v>180765000000</v>
      </c>
      <c r="C74" t="s">
        <v>1060</v>
      </c>
      <c r="D74" t="str">
        <f>IF(ISNUMBER(SEARCH("Middle",C74)), "Middle School","")</f>
        <v>Middle School</v>
      </c>
      <c r="E74">
        <v>1807650</v>
      </c>
      <c r="F74" t="s">
        <v>1061</v>
      </c>
      <c r="G74" s="1">
        <v>43245</v>
      </c>
      <c r="H74" t="s">
        <v>965</v>
      </c>
      <c r="I74">
        <v>2018</v>
      </c>
      <c r="J74" s="2">
        <v>0.37916666666666665</v>
      </c>
      <c r="K74" t="s">
        <v>95</v>
      </c>
      <c r="L74" t="s">
        <v>1062</v>
      </c>
      <c r="M74" t="s">
        <v>225</v>
      </c>
      <c r="N74" s="4">
        <v>6805985</v>
      </c>
      <c r="O74" t="s">
        <v>56</v>
      </c>
      <c r="P74">
        <v>1354</v>
      </c>
      <c r="Q74">
        <v>0</v>
      </c>
      <c r="R74">
        <v>2</v>
      </c>
      <c r="S74">
        <v>2</v>
      </c>
      <c r="T74" t="s">
        <v>70</v>
      </c>
      <c r="U74">
        <v>13</v>
      </c>
      <c r="V74" t="s">
        <v>58</v>
      </c>
      <c r="X74" t="s">
        <v>60</v>
      </c>
      <c r="Y74">
        <v>0</v>
      </c>
      <c r="AG74">
        <v>1179</v>
      </c>
      <c r="AH74">
        <v>28</v>
      </c>
      <c r="AI74">
        <v>82</v>
      </c>
      <c r="AJ74">
        <v>22</v>
      </c>
      <c r="AK74">
        <v>0</v>
      </c>
      <c r="AL74">
        <v>1</v>
      </c>
      <c r="AM74">
        <v>42</v>
      </c>
      <c r="AN74">
        <v>1</v>
      </c>
      <c r="AO74" t="s">
        <v>1063</v>
      </c>
      <c r="AQ74">
        <v>40.078249999999997</v>
      </c>
      <c r="AR74">
        <v>-86.029000999999994</v>
      </c>
      <c r="AS74">
        <v>64</v>
      </c>
      <c r="AT74">
        <v>6</v>
      </c>
      <c r="AU74">
        <v>8</v>
      </c>
      <c r="AV74">
        <v>268</v>
      </c>
      <c r="AW74" t="s">
        <v>183</v>
      </c>
      <c r="AX74">
        <v>18</v>
      </c>
      <c r="AY74">
        <v>18057</v>
      </c>
      <c r="AZ74">
        <v>21</v>
      </c>
    </row>
    <row r="75" spans="1:52" x14ac:dyDescent="0.3">
      <c r="A75">
        <v>293</v>
      </c>
      <c r="B75" s="3">
        <v>510264000000</v>
      </c>
      <c r="C75" t="s">
        <v>74</v>
      </c>
      <c r="D75" t="str">
        <f>IF(ISNUMBER(SEARCH("High",C75)), "High School","")</f>
        <v>High School</v>
      </c>
      <c r="E75">
        <v>5102640</v>
      </c>
      <c r="F75" t="s">
        <v>1265</v>
      </c>
      <c r="G75" s="1">
        <v>44459</v>
      </c>
      <c r="H75" t="s">
        <v>1243</v>
      </c>
      <c r="I75">
        <v>2021</v>
      </c>
      <c r="J75" s="2">
        <v>0.48541666666666666</v>
      </c>
      <c r="K75" t="s">
        <v>82</v>
      </c>
      <c r="L75" t="s">
        <v>1266</v>
      </c>
      <c r="M75" t="s">
        <v>441</v>
      </c>
      <c r="N75" s="4">
        <v>8642274</v>
      </c>
      <c r="O75" t="s">
        <v>56</v>
      </c>
      <c r="P75">
        <v>1173</v>
      </c>
      <c r="Q75">
        <v>0</v>
      </c>
      <c r="R75">
        <v>2</v>
      </c>
      <c r="S75">
        <v>2</v>
      </c>
      <c r="T75" t="s">
        <v>70</v>
      </c>
      <c r="U75">
        <v>15</v>
      </c>
      <c r="V75" t="s">
        <v>58</v>
      </c>
      <c r="AG75">
        <v>77</v>
      </c>
      <c r="AH75">
        <v>971</v>
      </c>
      <c r="AI75">
        <v>82</v>
      </c>
      <c r="AJ75">
        <v>7</v>
      </c>
      <c r="AK75">
        <v>2</v>
      </c>
      <c r="AL75">
        <v>5</v>
      </c>
      <c r="AM75">
        <v>29</v>
      </c>
      <c r="AN75">
        <v>0</v>
      </c>
      <c r="AQ75">
        <v>37.006300000000003</v>
      </c>
      <c r="AR75">
        <v>-76.427199999999999</v>
      </c>
      <c r="AS75">
        <v>77.34</v>
      </c>
      <c r="AT75">
        <v>9</v>
      </c>
      <c r="AU75">
        <v>12</v>
      </c>
      <c r="AV75">
        <v>862</v>
      </c>
      <c r="AW75" t="s">
        <v>1267</v>
      </c>
      <c r="AX75">
        <v>51</v>
      </c>
      <c r="AY75">
        <v>51700</v>
      </c>
      <c r="AZ75">
        <v>12</v>
      </c>
    </row>
    <row r="76" spans="1:52" x14ac:dyDescent="0.3">
      <c r="A76">
        <v>298</v>
      </c>
      <c r="B76" s="3">
        <v>170993000000</v>
      </c>
      <c r="C76" t="s">
        <v>1282</v>
      </c>
      <c r="D76" t="str">
        <f>IF(ISNUMBER(SEARCH("High",C76)), "High School","")</f>
        <v>High School</v>
      </c>
      <c r="E76">
        <v>1709930</v>
      </c>
      <c r="F76" t="s">
        <v>407</v>
      </c>
      <c r="G76" s="1">
        <v>44481</v>
      </c>
      <c r="H76" t="s">
        <v>1243</v>
      </c>
      <c r="I76">
        <v>2021</v>
      </c>
      <c r="J76" s="2">
        <v>0.63541666666666663</v>
      </c>
      <c r="K76" t="s">
        <v>53</v>
      </c>
      <c r="L76" t="s">
        <v>128</v>
      </c>
      <c r="M76" t="s">
        <v>129</v>
      </c>
      <c r="N76" s="4">
        <v>12671469</v>
      </c>
      <c r="O76" t="s">
        <v>56</v>
      </c>
      <c r="P76">
        <v>599</v>
      </c>
      <c r="Q76">
        <v>0</v>
      </c>
      <c r="R76">
        <v>2</v>
      </c>
      <c r="S76">
        <v>2</v>
      </c>
      <c r="T76" t="s">
        <v>57</v>
      </c>
      <c r="AG76">
        <v>1</v>
      </c>
      <c r="AH76">
        <v>582</v>
      </c>
      <c r="AI76">
        <v>9</v>
      </c>
      <c r="AJ76">
        <v>0</v>
      </c>
      <c r="AK76">
        <v>1</v>
      </c>
      <c r="AL76">
        <v>0</v>
      </c>
      <c r="AM76">
        <v>6</v>
      </c>
      <c r="AN76">
        <v>0</v>
      </c>
      <c r="AQ76">
        <v>41.824399999999997</v>
      </c>
      <c r="AR76">
        <v>-87.619900000000001</v>
      </c>
      <c r="AS76">
        <v>47</v>
      </c>
      <c r="AT76">
        <v>9</v>
      </c>
      <c r="AU76">
        <v>12</v>
      </c>
      <c r="AV76">
        <v>576</v>
      </c>
      <c r="AW76" t="s">
        <v>131</v>
      </c>
      <c r="AX76">
        <v>17</v>
      </c>
      <c r="AY76">
        <v>17031</v>
      </c>
      <c r="AZ76">
        <v>11</v>
      </c>
    </row>
    <row r="77" spans="1:52" x14ac:dyDescent="0.3">
      <c r="A77">
        <v>314</v>
      </c>
      <c r="B77" s="3">
        <v>173451000000</v>
      </c>
      <c r="C77" t="s">
        <v>1319</v>
      </c>
      <c r="D77" t="str">
        <f>IF(ISNUMBER(SEARCH("High",C77)), "High School","")</f>
        <v>High School</v>
      </c>
      <c r="E77">
        <v>1734510</v>
      </c>
      <c r="F77" t="s">
        <v>1320</v>
      </c>
      <c r="G77" s="1">
        <v>44565</v>
      </c>
      <c r="H77" t="s">
        <v>1243</v>
      </c>
      <c r="I77">
        <v>2022</v>
      </c>
      <c r="J77" s="2">
        <v>0.54861111111111105</v>
      </c>
      <c r="K77" t="s">
        <v>53</v>
      </c>
      <c r="L77" t="s">
        <v>968</v>
      </c>
      <c r="M77" t="s">
        <v>129</v>
      </c>
      <c r="N77" s="4">
        <v>12671469</v>
      </c>
      <c r="O77" t="s">
        <v>56</v>
      </c>
      <c r="P77">
        <v>1807</v>
      </c>
      <c r="Q77">
        <v>0</v>
      </c>
      <c r="R77">
        <v>2</v>
      </c>
      <c r="S77">
        <v>2</v>
      </c>
      <c r="T77" t="s">
        <v>70</v>
      </c>
      <c r="U77">
        <v>16</v>
      </c>
      <c r="V77" t="s">
        <v>58</v>
      </c>
      <c r="W77" t="s">
        <v>146</v>
      </c>
      <c r="AA77">
        <v>17</v>
      </c>
      <c r="AB77" t="s">
        <v>58</v>
      </c>
      <c r="AC77" t="s">
        <v>146</v>
      </c>
      <c r="AG77">
        <v>498</v>
      </c>
      <c r="AH77">
        <v>770</v>
      </c>
      <c r="AI77">
        <v>331</v>
      </c>
      <c r="AJ77">
        <v>75</v>
      </c>
      <c r="AK77">
        <v>4</v>
      </c>
      <c r="AL77">
        <v>2</v>
      </c>
      <c r="AM77">
        <v>127</v>
      </c>
      <c r="AN77">
        <v>0</v>
      </c>
      <c r="AO77" t="s">
        <v>327</v>
      </c>
      <c r="AQ77">
        <v>42.286783999999997</v>
      </c>
      <c r="AR77">
        <v>-89.137895</v>
      </c>
      <c r="AS77">
        <v>101.1</v>
      </c>
      <c r="AT77">
        <v>9</v>
      </c>
      <c r="AU77">
        <v>12</v>
      </c>
      <c r="AV77">
        <v>1105</v>
      </c>
      <c r="AW77" t="s">
        <v>1167</v>
      </c>
      <c r="AX77">
        <v>17</v>
      </c>
      <c r="AY77">
        <v>17201</v>
      </c>
      <c r="AZ77">
        <v>12</v>
      </c>
    </row>
    <row r="78" spans="1:52" x14ac:dyDescent="0.3">
      <c r="A78">
        <v>318</v>
      </c>
      <c r="B78" s="3">
        <v>201014000000</v>
      </c>
      <c r="C78" t="s">
        <v>1345</v>
      </c>
      <c r="D78" t="str">
        <f>IF(ISNUMBER(SEARCH("High",C78)), "High School","")</f>
        <v>High School</v>
      </c>
      <c r="E78">
        <v>2010140</v>
      </c>
      <c r="F78" t="s">
        <v>1346</v>
      </c>
      <c r="G78" s="1">
        <v>44624</v>
      </c>
      <c r="H78" t="s">
        <v>1243</v>
      </c>
      <c r="I78">
        <v>2022</v>
      </c>
      <c r="J78" s="2">
        <v>0.4375</v>
      </c>
      <c r="K78" t="s">
        <v>95</v>
      </c>
      <c r="L78" t="s">
        <v>1347</v>
      </c>
      <c r="M78" t="s">
        <v>1113</v>
      </c>
      <c r="N78" s="4">
        <v>2934582</v>
      </c>
      <c r="O78" t="s">
        <v>56</v>
      </c>
      <c r="P78">
        <v>1957</v>
      </c>
      <c r="Q78">
        <v>0</v>
      </c>
      <c r="R78">
        <v>2</v>
      </c>
      <c r="S78">
        <v>2</v>
      </c>
      <c r="T78" t="s">
        <v>70</v>
      </c>
      <c r="U78">
        <v>18</v>
      </c>
      <c r="V78" t="s">
        <v>58</v>
      </c>
      <c r="W78" t="s">
        <v>146</v>
      </c>
      <c r="X78" t="s">
        <v>60</v>
      </c>
      <c r="AG78">
        <v>1264</v>
      </c>
      <c r="AH78">
        <v>209</v>
      </c>
      <c r="AI78">
        <v>280</v>
      </c>
      <c r="AJ78">
        <v>102</v>
      </c>
      <c r="AK78">
        <v>7</v>
      </c>
      <c r="AL78">
        <v>4</v>
      </c>
      <c r="AM78">
        <v>91</v>
      </c>
      <c r="AN78">
        <v>0</v>
      </c>
      <c r="AQ78">
        <v>38.895899999999997</v>
      </c>
      <c r="AR78">
        <v>-94.753900000000002</v>
      </c>
      <c r="AS78">
        <v>117.3</v>
      </c>
      <c r="AT78">
        <v>9</v>
      </c>
      <c r="AU78">
        <v>12</v>
      </c>
      <c r="AV78">
        <v>482</v>
      </c>
      <c r="AW78" t="s">
        <v>1115</v>
      </c>
      <c r="AX78">
        <v>20</v>
      </c>
      <c r="AY78">
        <v>20091</v>
      </c>
      <c r="AZ78">
        <v>21</v>
      </c>
    </row>
    <row r="79" spans="1:52" x14ac:dyDescent="0.3">
      <c r="A79">
        <v>323</v>
      </c>
      <c r="B79" s="3">
        <v>270003000000</v>
      </c>
      <c r="C79" t="s">
        <v>1329</v>
      </c>
      <c r="D79" t="s">
        <v>1542</v>
      </c>
      <c r="E79">
        <v>2700025</v>
      </c>
      <c r="F79" t="s">
        <v>1330</v>
      </c>
      <c r="G79" s="1">
        <v>44593</v>
      </c>
      <c r="H79" t="s">
        <v>1243</v>
      </c>
      <c r="I79">
        <v>2022</v>
      </c>
      <c r="J79" s="2">
        <v>0.50486111111111109</v>
      </c>
      <c r="K79" t="s">
        <v>53</v>
      </c>
      <c r="L79" t="s">
        <v>1331</v>
      </c>
      <c r="M79" t="s">
        <v>321</v>
      </c>
      <c r="N79" s="4">
        <v>5707390</v>
      </c>
      <c r="O79" t="s">
        <v>56</v>
      </c>
      <c r="P79">
        <v>71</v>
      </c>
      <c r="Q79">
        <v>1</v>
      </c>
      <c r="R79">
        <v>1</v>
      </c>
      <c r="S79">
        <v>2</v>
      </c>
      <c r="T79" t="s">
        <v>70</v>
      </c>
      <c r="U79">
        <v>19</v>
      </c>
      <c r="V79" t="s">
        <v>58</v>
      </c>
      <c r="W79" t="s">
        <v>99</v>
      </c>
      <c r="X79" t="s">
        <v>60</v>
      </c>
      <c r="AA79">
        <v>18</v>
      </c>
      <c r="AB79" t="s">
        <v>58</v>
      </c>
      <c r="AC79" t="s">
        <v>99</v>
      </c>
      <c r="AG79">
        <v>15</v>
      </c>
      <c r="AH79">
        <v>17</v>
      </c>
      <c r="AI79">
        <v>27</v>
      </c>
      <c r="AJ79">
        <v>2</v>
      </c>
      <c r="AK79">
        <v>1</v>
      </c>
      <c r="AL79">
        <v>1</v>
      </c>
      <c r="AM79">
        <v>8</v>
      </c>
      <c r="AN79">
        <v>0</v>
      </c>
      <c r="AQ79">
        <v>44.868045000000002</v>
      </c>
      <c r="AR79">
        <v>-93.310844000000003</v>
      </c>
      <c r="AS79">
        <v>8.1999999999999993</v>
      </c>
      <c r="AT79" t="s">
        <v>130</v>
      </c>
      <c r="AU79">
        <v>12</v>
      </c>
      <c r="AV79">
        <v>47</v>
      </c>
      <c r="AW79" t="s">
        <v>1102</v>
      </c>
      <c r="AX79">
        <v>27</v>
      </c>
      <c r="AY79">
        <v>27053</v>
      </c>
      <c r="AZ79">
        <v>21</v>
      </c>
    </row>
    <row r="80" spans="1:52" x14ac:dyDescent="0.3">
      <c r="A80">
        <v>347</v>
      </c>
      <c r="B80">
        <v>10162000565</v>
      </c>
      <c r="C80" t="s">
        <v>1415</v>
      </c>
      <c r="D80" t="str">
        <f>IF(ISNUMBER(SEARCH("Elementary",C80)), "Elementary School","")</f>
        <v>Elementary School</v>
      </c>
      <c r="E80">
        <v>101620</v>
      </c>
      <c r="F80" t="s">
        <v>1416</v>
      </c>
      <c r="G80" s="1">
        <v>44721</v>
      </c>
      <c r="H80" t="s">
        <v>1417</v>
      </c>
      <c r="I80">
        <v>2022</v>
      </c>
      <c r="J80" s="2">
        <v>0.39583333333333331</v>
      </c>
      <c r="K80" t="s">
        <v>67</v>
      </c>
      <c r="L80" t="s">
        <v>1418</v>
      </c>
      <c r="M80" t="s">
        <v>614</v>
      </c>
      <c r="N80" s="4">
        <v>5039877</v>
      </c>
      <c r="O80" t="s">
        <v>56</v>
      </c>
      <c r="P80">
        <v>203</v>
      </c>
      <c r="Q80">
        <v>1</v>
      </c>
      <c r="R80">
        <v>1</v>
      </c>
      <c r="S80">
        <v>2</v>
      </c>
      <c r="T80" t="s">
        <v>70</v>
      </c>
      <c r="X80" t="s">
        <v>630</v>
      </c>
      <c r="AG80">
        <v>118</v>
      </c>
      <c r="AH80">
        <v>48</v>
      </c>
      <c r="AI80">
        <v>35</v>
      </c>
      <c r="AJ80">
        <v>1</v>
      </c>
      <c r="AK80">
        <v>1</v>
      </c>
      <c r="AL80">
        <v>0</v>
      </c>
      <c r="AM80">
        <v>0</v>
      </c>
      <c r="AN80">
        <v>0</v>
      </c>
      <c r="AQ80">
        <v>34.0107</v>
      </c>
      <c r="AR80">
        <v>-86.056200000000004</v>
      </c>
      <c r="AS80">
        <v>13.46</v>
      </c>
      <c r="AT80" t="s">
        <v>130</v>
      </c>
      <c r="AU80">
        <v>5</v>
      </c>
      <c r="AV80">
        <v>252</v>
      </c>
      <c r="AW80" t="s">
        <v>1419</v>
      </c>
      <c r="AX80">
        <v>1</v>
      </c>
      <c r="AY80">
        <v>1055</v>
      </c>
      <c r="AZ80">
        <v>13</v>
      </c>
    </row>
    <row r="81" spans="1:52" x14ac:dyDescent="0.3">
      <c r="A81">
        <v>348</v>
      </c>
      <c r="B81">
        <v>62271003052</v>
      </c>
      <c r="C81" t="s">
        <v>1413</v>
      </c>
      <c r="D81" t="str">
        <f>IF(ISNUMBER(SEARCH("High",C81)), "High School","")</f>
        <v>High School</v>
      </c>
      <c r="E81">
        <v>622710</v>
      </c>
      <c r="F81" t="s">
        <v>1414</v>
      </c>
      <c r="G81" s="1">
        <v>44713</v>
      </c>
      <c r="H81" t="s">
        <v>1243</v>
      </c>
      <c r="I81">
        <v>2022</v>
      </c>
      <c r="J81" s="2">
        <v>0.64236111111111105</v>
      </c>
      <c r="K81" t="s">
        <v>90</v>
      </c>
      <c r="L81" t="s">
        <v>241</v>
      </c>
      <c r="M81" t="s">
        <v>121</v>
      </c>
      <c r="N81" s="4">
        <v>39237836</v>
      </c>
      <c r="O81" t="s">
        <v>56</v>
      </c>
      <c r="P81">
        <v>1886</v>
      </c>
      <c r="Q81">
        <v>0</v>
      </c>
      <c r="R81">
        <v>1</v>
      </c>
      <c r="S81">
        <v>2</v>
      </c>
      <c r="T81" t="s">
        <v>70</v>
      </c>
      <c r="AG81">
        <v>732</v>
      </c>
      <c r="AH81">
        <v>58</v>
      </c>
      <c r="AI81">
        <v>1010</v>
      </c>
      <c r="AJ81">
        <v>61</v>
      </c>
      <c r="AK81">
        <v>5</v>
      </c>
      <c r="AL81">
        <v>2</v>
      </c>
      <c r="AM81">
        <v>18</v>
      </c>
      <c r="AN81">
        <v>0</v>
      </c>
      <c r="AQ81">
        <v>34.177798000000003</v>
      </c>
      <c r="AR81">
        <v>-118.415327</v>
      </c>
      <c r="AS81">
        <v>94.35</v>
      </c>
      <c r="AT81">
        <v>9</v>
      </c>
      <c r="AU81">
        <v>12</v>
      </c>
      <c r="AV81">
        <v>2609</v>
      </c>
      <c r="AW81" t="s">
        <v>243</v>
      </c>
      <c r="AX81">
        <v>6</v>
      </c>
      <c r="AY81">
        <v>6037</v>
      </c>
      <c r="AZ81">
        <v>11</v>
      </c>
    </row>
    <row r="82" spans="1:52" x14ac:dyDescent="0.3">
      <c r="A82">
        <v>358</v>
      </c>
      <c r="B82" s="3">
        <v>170492000000</v>
      </c>
      <c r="C82" t="s">
        <v>1449</v>
      </c>
      <c r="D82" t="str">
        <f>IF(ISNUMBER(SEARCH("Elementary",C82)), "Elementary School","")</f>
        <v>Elementary School</v>
      </c>
      <c r="E82">
        <v>1704920</v>
      </c>
      <c r="F82" t="s">
        <v>1450</v>
      </c>
      <c r="G82" s="1">
        <v>44876</v>
      </c>
      <c r="H82" t="s">
        <v>1417</v>
      </c>
      <c r="I82">
        <v>2022</v>
      </c>
      <c r="J82" s="2">
        <v>0.55972222222222223</v>
      </c>
      <c r="K82" t="s">
        <v>53</v>
      </c>
      <c r="L82" t="s">
        <v>1451</v>
      </c>
      <c r="M82" t="s">
        <v>69</v>
      </c>
      <c r="N82" s="4">
        <v>4624047</v>
      </c>
      <c r="O82" t="s">
        <v>56</v>
      </c>
      <c r="P82">
        <v>606</v>
      </c>
      <c r="Q82">
        <v>0</v>
      </c>
      <c r="R82">
        <v>2</v>
      </c>
      <c r="S82">
        <v>2</v>
      </c>
      <c r="T82" t="s">
        <v>70</v>
      </c>
      <c r="AG82">
        <v>473</v>
      </c>
      <c r="AH82">
        <v>39</v>
      </c>
      <c r="AI82">
        <v>22</v>
      </c>
      <c r="AJ82">
        <v>24</v>
      </c>
      <c r="AK82">
        <v>1</v>
      </c>
      <c r="AL82">
        <v>0</v>
      </c>
      <c r="AM82">
        <v>47</v>
      </c>
      <c r="AN82">
        <v>0</v>
      </c>
      <c r="AQ82">
        <v>39.671599999999998</v>
      </c>
      <c r="AR82">
        <v>-89.629000000000005</v>
      </c>
      <c r="AS82">
        <v>36.32</v>
      </c>
      <c r="AT82" t="s">
        <v>130</v>
      </c>
      <c r="AU82">
        <v>4</v>
      </c>
      <c r="AW82" t="s">
        <v>1452</v>
      </c>
      <c r="AX82">
        <v>17</v>
      </c>
      <c r="AY82">
        <v>17167</v>
      </c>
      <c r="AZ82">
        <v>41</v>
      </c>
    </row>
    <row r="83" spans="1:52" x14ac:dyDescent="0.3">
      <c r="A83">
        <v>368</v>
      </c>
      <c r="B83">
        <v>40963002775</v>
      </c>
      <c r="C83" t="s">
        <v>1485</v>
      </c>
      <c r="D83" t="str">
        <f>IF(ISNUMBER(SEARCH("High",C83)), "High School","")</f>
        <v>High School</v>
      </c>
      <c r="E83">
        <v>409630</v>
      </c>
      <c r="F83" t="s">
        <v>1486</v>
      </c>
      <c r="G83" s="1">
        <v>44956</v>
      </c>
      <c r="H83" t="s">
        <v>1417</v>
      </c>
      <c r="I83">
        <v>2023</v>
      </c>
      <c r="J83" s="2">
        <v>0.35416666666666669</v>
      </c>
      <c r="K83" t="s">
        <v>82</v>
      </c>
      <c r="L83" t="s">
        <v>1487</v>
      </c>
      <c r="M83" t="s">
        <v>160</v>
      </c>
      <c r="N83" s="4">
        <v>7276316</v>
      </c>
      <c r="O83" t="s">
        <v>56</v>
      </c>
      <c r="P83">
        <v>2158</v>
      </c>
      <c r="Q83">
        <v>0</v>
      </c>
      <c r="R83">
        <v>2</v>
      </c>
      <c r="S83">
        <v>2</v>
      </c>
      <c r="T83" t="s">
        <v>792</v>
      </c>
      <c r="AG83">
        <v>672</v>
      </c>
      <c r="AH83">
        <v>31</v>
      </c>
      <c r="AI83">
        <v>1373</v>
      </c>
      <c r="AJ83">
        <v>15</v>
      </c>
      <c r="AK83">
        <v>13</v>
      </c>
      <c r="AL83">
        <v>6</v>
      </c>
      <c r="AM83">
        <v>48</v>
      </c>
      <c r="AN83">
        <v>0</v>
      </c>
      <c r="AQ83">
        <v>32.685699999999997</v>
      </c>
      <c r="AR83">
        <v>-114.5107</v>
      </c>
      <c r="AS83">
        <v>83.7</v>
      </c>
      <c r="AT83">
        <v>9</v>
      </c>
      <c r="AU83">
        <v>12</v>
      </c>
      <c r="AV83">
        <v>1208</v>
      </c>
      <c r="AW83" t="s">
        <v>1488</v>
      </c>
      <c r="AX83">
        <v>4</v>
      </c>
      <c r="AY83">
        <v>4027</v>
      </c>
      <c r="AZ83">
        <v>41</v>
      </c>
    </row>
    <row r="84" spans="1:52" x14ac:dyDescent="0.3">
      <c r="A84">
        <v>378</v>
      </c>
      <c r="B84" s="3">
        <v>480870000000</v>
      </c>
      <c r="C84" t="s">
        <v>1507</v>
      </c>
      <c r="D84" t="str">
        <f>IF(ISNUMBER(SEARCH("High",C84)), "High School","")</f>
        <v>High School</v>
      </c>
      <c r="E84">
        <v>4808700</v>
      </c>
      <c r="F84" t="s">
        <v>1508</v>
      </c>
      <c r="G84" s="1">
        <v>45005</v>
      </c>
      <c r="H84" t="s">
        <v>1417</v>
      </c>
      <c r="I84">
        <v>2023</v>
      </c>
      <c r="J84" s="2">
        <v>0.28819444444444448</v>
      </c>
      <c r="K84" t="s">
        <v>82</v>
      </c>
      <c r="L84" t="s">
        <v>1277</v>
      </c>
      <c r="M84" t="s">
        <v>205</v>
      </c>
      <c r="N84" s="4">
        <v>29527941</v>
      </c>
      <c r="O84" t="s">
        <v>56</v>
      </c>
      <c r="P84" s="4">
        <v>2541</v>
      </c>
      <c r="Q84">
        <v>1</v>
      </c>
      <c r="R84">
        <v>1</v>
      </c>
      <c r="S84">
        <v>2</v>
      </c>
      <c r="T84" t="s">
        <v>792</v>
      </c>
      <c r="V84" t="s">
        <v>58</v>
      </c>
      <c r="X84" t="s">
        <v>60</v>
      </c>
      <c r="AG84">
        <v>385</v>
      </c>
      <c r="AH84">
        <v>901</v>
      </c>
      <c r="AI84" s="4">
        <v>1107</v>
      </c>
      <c r="AJ84">
        <v>65</v>
      </c>
      <c r="AK84">
        <v>13</v>
      </c>
      <c r="AL84">
        <v>3</v>
      </c>
      <c r="AM84">
        <v>67</v>
      </c>
      <c r="AN84">
        <v>0</v>
      </c>
      <c r="AQ84">
        <v>32.763804</v>
      </c>
      <c r="AR84">
        <v>-97.125992999999994</v>
      </c>
      <c r="AS84">
        <v>166.97</v>
      </c>
      <c r="AT84">
        <v>9</v>
      </c>
      <c r="AU84">
        <v>12</v>
      </c>
      <c r="AV84" s="4">
        <v>1820</v>
      </c>
      <c r="AW84" t="s">
        <v>480</v>
      </c>
      <c r="AX84">
        <v>48</v>
      </c>
      <c r="AY84">
        <v>48439</v>
      </c>
      <c r="AZ84">
        <v>11</v>
      </c>
    </row>
    <row r="85" spans="1:52" x14ac:dyDescent="0.3">
      <c r="A85">
        <v>379</v>
      </c>
      <c r="B85">
        <v>80336000338</v>
      </c>
      <c r="C85" t="s">
        <v>1348</v>
      </c>
      <c r="D85" t="str">
        <f>IF(ISNUMBER(SEARCH("High",C85)), "High School","")</f>
        <v>High School</v>
      </c>
      <c r="E85">
        <v>803360</v>
      </c>
      <c r="F85" t="s">
        <v>1512</v>
      </c>
      <c r="G85" s="1">
        <v>45007</v>
      </c>
      <c r="H85" t="s">
        <v>1417</v>
      </c>
      <c r="I85">
        <v>2023</v>
      </c>
      <c r="J85" s="2">
        <v>0.41319444444444442</v>
      </c>
      <c r="K85" t="s">
        <v>90</v>
      </c>
      <c r="L85" t="s">
        <v>1513</v>
      </c>
      <c r="M85" t="s">
        <v>55</v>
      </c>
      <c r="N85" s="4">
        <v>5812069</v>
      </c>
      <c r="O85" t="s">
        <v>56</v>
      </c>
      <c r="P85">
        <v>2589</v>
      </c>
      <c r="Q85">
        <v>0</v>
      </c>
      <c r="R85">
        <v>2</v>
      </c>
      <c r="S85">
        <v>2</v>
      </c>
      <c r="T85" t="s">
        <v>70</v>
      </c>
      <c r="U85">
        <v>17</v>
      </c>
      <c r="V85" t="s">
        <v>58</v>
      </c>
      <c r="W85" t="s">
        <v>146</v>
      </c>
      <c r="X85" t="s">
        <v>60</v>
      </c>
      <c r="Y85">
        <v>1</v>
      </c>
      <c r="Z85" t="s">
        <v>61</v>
      </c>
      <c r="AG85">
        <v>1325</v>
      </c>
      <c r="AH85">
        <v>417</v>
      </c>
      <c r="AI85">
        <v>571</v>
      </c>
      <c r="AJ85">
        <v>63</v>
      </c>
      <c r="AK85">
        <v>6</v>
      </c>
      <c r="AL85">
        <v>8</v>
      </c>
      <c r="AM85">
        <v>199</v>
      </c>
      <c r="AN85">
        <v>0</v>
      </c>
      <c r="AO85" t="s">
        <v>1159</v>
      </c>
      <c r="AQ85">
        <v>39.741599999999998</v>
      </c>
      <c r="AR85">
        <v>-104.95569999999999</v>
      </c>
      <c r="AS85">
        <v>123.63</v>
      </c>
      <c r="AT85">
        <v>9</v>
      </c>
      <c r="AU85">
        <v>12</v>
      </c>
      <c r="AV85">
        <v>743</v>
      </c>
      <c r="AW85" t="s">
        <v>1514</v>
      </c>
      <c r="AX85">
        <v>8</v>
      </c>
      <c r="AY85">
        <v>8031</v>
      </c>
      <c r="AZ85">
        <v>11</v>
      </c>
    </row>
    <row r="86" spans="1:52" x14ac:dyDescent="0.3">
      <c r="A86">
        <v>383</v>
      </c>
      <c r="B86" s="3">
        <v>510324000000</v>
      </c>
      <c r="C86" t="s">
        <v>1522</v>
      </c>
      <c r="D86" t="str">
        <f>IF(ISNUMBER(SEARCH("High",C86)), "High School","")</f>
        <v>High School</v>
      </c>
      <c r="E86">
        <v>5103240</v>
      </c>
      <c r="F86" t="s">
        <v>1523</v>
      </c>
      <c r="G86" s="1">
        <v>45043</v>
      </c>
      <c r="H86" t="s">
        <v>1417</v>
      </c>
      <c r="I86">
        <v>2023</v>
      </c>
      <c r="J86" s="2">
        <v>0.50138888888888888</v>
      </c>
      <c r="K86" t="s">
        <v>67</v>
      </c>
      <c r="L86" t="s">
        <v>1092</v>
      </c>
      <c r="M86" t="s">
        <v>441</v>
      </c>
      <c r="N86" s="4">
        <v>8642274</v>
      </c>
      <c r="O86" t="s">
        <v>56</v>
      </c>
      <c r="P86">
        <v>1296</v>
      </c>
      <c r="Q86">
        <v>0</v>
      </c>
      <c r="R86">
        <v>2</v>
      </c>
      <c r="S86">
        <v>2</v>
      </c>
      <c r="T86" t="s">
        <v>70</v>
      </c>
      <c r="U86">
        <v>18</v>
      </c>
      <c r="V86" t="s">
        <v>58</v>
      </c>
      <c r="X86" t="s">
        <v>60</v>
      </c>
      <c r="AG86">
        <v>32</v>
      </c>
      <c r="AH86">
        <v>598</v>
      </c>
      <c r="AI86">
        <v>652</v>
      </c>
      <c r="AJ86">
        <v>3</v>
      </c>
      <c r="AK86">
        <v>0</v>
      </c>
      <c r="AL86">
        <v>0</v>
      </c>
      <c r="AM86">
        <v>11</v>
      </c>
      <c r="AN86">
        <v>0</v>
      </c>
      <c r="AQ86">
        <v>37.510274000000003</v>
      </c>
      <c r="AR86">
        <v>-77.483074999999999</v>
      </c>
      <c r="AS86">
        <v>71.84</v>
      </c>
      <c r="AT86">
        <v>9</v>
      </c>
      <c r="AU86">
        <v>12</v>
      </c>
      <c r="AV86">
        <v>1116</v>
      </c>
      <c r="AW86" t="s">
        <v>1524</v>
      </c>
      <c r="AX86">
        <v>51</v>
      </c>
      <c r="AY86">
        <v>51760</v>
      </c>
      <c r="AZ86">
        <v>12</v>
      </c>
    </row>
    <row r="87" spans="1:52" x14ac:dyDescent="0.3">
      <c r="A87">
        <v>2</v>
      </c>
      <c r="B87" s="3">
        <v>220054000000</v>
      </c>
      <c r="C87" t="s">
        <v>65</v>
      </c>
      <c r="D87" t="str">
        <f>IF(ISNUMBER(SEARCH("Middle",C87)), "Middle School","")</f>
        <v>Middle School</v>
      </c>
      <c r="E87">
        <v>2200540</v>
      </c>
      <c r="F87" t="s">
        <v>66</v>
      </c>
      <c r="G87" s="1">
        <v>36272</v>
      </c>
      <c r="H87" t="s">
        <v>52</v>
      </c>
      <c r="I87">
        <v>1999</v>
      </c>
      <c r="J87" s="2">
        <v>0.52083333333333337</v>
      </c>
      <c r="K87" t="s">
        <v>67</v>
      </c>
      <c r="L87" t="s">
        <v>68</v>
      </c>
      <c r="M87" t="s">
        <v>69</v>
      </c>
      <c r="N87" s="4">
        <v>4624047</v>
      </c>
      <c r="O87" t="s">
        <v>56</v>
      </c>
      <c r="P87">
        <v>588</v>
      </c>
      <c r="Q87">
        <v>0</v>
      </c>
      <c r="R87">
        <v>1</v>
      </c>
      <c r="S87">
        <v>1</v>
      </c>
      <c r="T87" t="s">
        <v>70</v>
      </c>
      <c r="U87">
        <v>14</v>
      </c>
      <c r="V87" t="s">
        <v>58</v>
      </c>
      <c r="X87" t="s">
        <v>71</v>
      </c>
      <c r="Y87">
        <v>0</v>
      </c>
      <c r="AG87">
        <v>5</v>
      </c>
      <c r="AH87">
        <v>583</v>
      </c>
      <c r="AI87">
        <v>0</v>
      </c>
      <c r="AJ87">
        <v>0</v>
      </c>
      <c r="AK87">
        <v>0</v>
      </c>
      <c r="AN87">
        <v>0</v>
      </c>
      <c r="AO87" t="s">
        <v>72</v>
      </c>
      <c r="AQ87">
        <v>30.529958000000001</v>
      </c>
      <c r="AR87">
        <v>-91.169966000000002</v>
      </c>
      <c r="AS87">
        <v>39</v>
      </c>
      <c r="AT87">
        <v>6</v>
      </c>
      <c r="AU87">
        <v>8</v>
      </c>
      <c r="AV87">
        <v>495</v>
      </c>
      <c r="AW87" t="s">
        <v>73</v>
      </c>
      <c r="AX87">
        <v>22</v>
      </c>
      <c r="AY87">
        <v>22033</v>
      </c>
      <c r="AZ87">
        <v>12</v>
      </c>
    </row>
    <row r="88" spans="1:52" x14ac:dyDescent="0.3">
      <c r="A88">
        <v>4</v>
      </c>
      <c r="B88" s="3">
        <v>421899000000</v>
      </c>
      <c r="C88" t="s">
        <v>79</v>
      </c>
      <c r="D88" t="str">
        <f>IF(ISNUMBER(SEARCH("High",C88)), "High School","")</f>
        <v>High School</v>
      </c>
      <c r="E88">
        <v>4218990</v>
      </c>
      <c r="F88" t="s">
        <v>80</v>
      </c>
      <c r="G88" s="1">
        <v>36437</v>
      </c>
      <c r="H88" t="s">
        <v>81</v>
      </c>
      <c r="I88">
        <v>1999</v>
      </c>
      <c r="J88" s="2">
        <v>0.41666666666666669</v>
      </c>
      <c r="K88" t="s">
        <v>82</v>
      </c>
      <c r="L88" t="s">
        <v>83</v>
      </c>
      <c r="M88" t="s">
        <v>84</v>
      </c>
      <c r="N88" s="4">
        <v>12964056</v>
      </c>
      <c r="O88" t="s">
        <v>56</v>
      </c>
      <c r="P88">
        <v>3147</v>
      </c>
      <c r="Q88">
        <v>0</v>
      </c>
      <c r="R88">
        <v>1</v>
      </c>
      <c r="S88">
        <v>1</v>
      </c>
      <c r="T88" t="s">
        <v>70</v>
      </c>
      <c r="U88">
        <v>17</v>
      </c>
      <c r="V88" t="s">
        <v>58</v>
      </c>
      <c r="X88" t="s">
        <v>60</v>
      </c>
      <c r="Y88">
        <v>0</v>
      </c>
      <c r="AG88">
        <v>209</v>
      </c>
      <c r="AH88">
        <v>2736</v>
      </c>
      <c r="AI88">
        <v>27</v>
      </c>
      <c r="AJ88">
        <v>170</v>
      </c>
      <c r="AK88">
        <v>5</v>
      </c>
      <c r="AN88">
        <v>1</v>
      </c>
      <c r="AO88" t="s">
        <v>85</v>
      </c>
      <c r="AP88" t="s">
        <v>86</v>
      </c>
      <c r="AQ88">
        <v>39.921509</v>
      </c>
      <c r="AR88">
        <v>-75.234108000000006</v>
      </c>
      <c r="AS88">
        <v>41</v>
      </c>
      <c r="AT88">
        <v>9</v>
      </c>
      <c r="AU88">
        <v>12</v>
      </c>
      <c r="AV88">
        <v>2007</v>
      </c>
      <c r="AW88" t="s">
        <v>87</v>
      </c>
      <c r="AX88">
        <v>42</v>
      </c>
      <c r="AY88">
        <v>42101</v>
      </c>
      <c r="AZ88">
        <v>11</v>
      </c>
    </row>
    <row r="89" spans="1:52" x14ac:dyDescent="0.3">
      <c r="A89">
        <v>5</v>
      </c>
      <c r="B89" s="3">
        <v>250279000000</v>
      </c>
      <c r="C89" t="s">
        <v>88</v>
      </c>
      <c r="D89" t="str">
        <f>IF(ISNUMBER(SEARCH("High",C89)), "High School","")</f>
        <v>High School</v>
      </c>
      <c r="E89">
        <v>2502790</v>
      </c>
      <c r="F89" t="s">
        <v>89</v>
      </c>
      <c r="G89" s="1">
        <v>36467</v>
      </c>
      <c r="H89" t="s">
        <v>81</v>
      </c>
      <c r="I89">
        <v>1999</v>
      </c>
      <c r="J89" s="2">
        <v>0.31944444444444448</v>
      </c>
      <c r="K89" t="s">
        <v>90</v>
      </c>
      <c r="L89" t="s">
        <v>89</v>
      </c>
      <c r="M89" t="s">
        <v>91</v>
      </c>
      <c r="N89" s="4">
        <v>6984723</v>
      </c>
      <c r="O89" t="s">
        <v>56</v>
      </c>
      <c r="P89">
        <v>1116</v>
      </c>
      <c r="Q89">
        <v>0</v>
      </c>
      <c r="R89">
        <v>1</v>
      </c>
      <c r="S89">
        <v>1</v>
      </c>
      <c r="T89" t="s">
        <v>70</v>
      </c>
      <c r="V89" t="s">
        <v>58</v>
      </c>
      <c r="Y89">
        <v>0</v>
      </c>
      <c r="AG89">
        <v>40</v>
      </c>
      <c r="AH89">
        <v>755</v>
      </c>
      <c r="AI89">
        <v>287</v>
      </c>
      <c r="AJ89">
        <v>29</v>
      </c>
      <c r="AK89">
        <v>5</v>
      </c>
      <c r="AN89">
        <v>0</v>
      </c>
      <c r="AQ89">
        <v>42.285268000000002</v>
      </c>
      <c r="AR89">
        <v>-71.075901000000002</v>
      </c>
      <c r="AT89">
        <v>9</v>
      </c>
      <c r="AU89">
        <v>12</v>
      </c>
      <c r="AV89">
        <v>543</v>
      </c>
      <c r="AW89" t="s">
        <v>92</v>
      </c>
      <c r="AX89">
        <v>25</v>
      </c>
      <c r="AY89">
        <v>25025</v>
      </c>
      <c r="AZ89">
        <v>11</v>
      </c>
    </row>
    <row r="90" spans="1:52" x14ac:dyDescent="0.3">
      <c r="A90">
        <v>6</v>
      </c>
      <c r="B90" s="3">
        <v>350069000000</v>
      </c>
      <c r="C90" t="s">
        <v>93</v>
      </c>
      <c r="D90" t="str">
        <f>IF(ISNUMBER(SEARCH("Middle",C90)), "Middle School","")</f>
        <v>Middle School</v>
      </c>
      <c r="E90">
        <v>3500690</v>
      </c>
      <c r="F90" t="s">
        <v>94</v>
      </c>
      <c r="G90" s="1">
        <v>36483</v>
      </c>
      <c r="H90" t="s">
        <v>81</v>
      </c>
      <c r="I90">
        <v>1999</v>
      </c>
      <c r="J90" s="2">
        <v>0.53125</v>
      </c>
      <c r="K90" t="s">
        <v>95</v>
      </c>
      <c r="L90" t="s">
        <v>96</v>
      </c>
      <c r="M90" t="s">
        <v>97</v>
      </c>
      <c r="N90" s="4">
        <v>2115877</v>
      </c>
      <c r="O90" t="s">
        <v>56</v>
      </c>
      <c r="P90">
        <v>753</v>
      </c>
      <c r="Q90">
        <v>1</v>
      </c>
      <c r="R90">
        <v>0</v>
      </c>
      <c r="S90">
        <v>1</v>
      </c>
      <c r="T90" t="s">
        <v>98</v>
      </c>
      <c r="U90">
        <v>12</v>
      </c>
      <c r="V90" t="s">
        <v>58</v>
      </c>
      <c r="W90" t="s">
        <v>99</v>
      </c>
      <c r="X90" t="s">
        <v>60</v>
      </c>
      <c r="Y90">
        <v>0</v>
      </c>
      <c r="AG90">
        <v>160</v>
      </c>
      <c r="AH90">
        <v>6</v>
      </c>
      <c r="AI90">
        <v>583</v>
      </c>
      <c r="AJ90">
        <v>2</v>
      </c>
      <c r="AK90">
        <v>2</v>
      </c>
      <c r="AN90">
        <v>0</v>
      </c>
      <c r="AO90" t="s">
        <v>100</v>
      </c>
      <c r="AP90" t="s">
        <v>101</v>
      </c>
      <c r="AQ90">
        <v>32.261547</v>
      </c>
      <c r="AR90">
        <v>-107.762986</v>
      </c>
      <c r="AS90">
        <v>44</v>
      </c>
      <c r="AT90">
        <v>6</v>
      </c>
      <c r="AU90">
        <v>7</v>
      </c>
      <c r="AV90">
        <v>502</v>
      </c>
      <c r="AW90" t="s">
        <v>102</v>
      </c>
      <c r="AX90">
        <v>35</v>
      </c>
      <c r="AY90">
        <v>35029</v>
      </c>
      <c r="AZ90">
        <v>33</v>
      </c>
    </row>
    <row r="91" spans="1:52" x14ac:dyDescent="0.3">
      <c r="A91">
        <v>8</v>
      </c>
      <c r="B91" s="3">
        <v>120153000000</v>
      </c>
      <c r="C91" t="s">
        <v>110</v>
      </c>
      <c r="D91" t="str">
        <f>IF(ISNUMBER(SEARCH("High",C91)), "High School","")</f>
        <v>High School</v>
      </c>
      <c r="E91">
        <v>1201530</v>
      </c>
      <c r="F91" t="s">
        <v>111</v>
      </c>
      <c r="G91" s="1">
        <v>36544</v>
      </c>
      <c r="H91" t="s">
        <v>81</v>
      </c>
      <c r="I91">
        <v>2000</v>
      </c>
      <c r="J91" s="2">
        <v>0.625</v>
      </c>
      <c r="K91" t="s">
        <v>90</v>
      </c>
      <c r="L91" t="s">
        <v>112</v>
      </c>
      <c r="M91" t="s">
        <v>113</v>
      </c>
      <c r="N91" s="4">
        <v>21781128</v>
      </c>
      <c r="O91" t="s">
        <v>56</v>
      </c>
      <c r="P91">
        <v>1852</v>
      </c>
      <c r="Q91">
        <v>1</v>
      </c>
      <c r="R91">
        <v>0</v>
      </c>
      <c r="S91">
        <v>1</v>
      </c>
      <c r="T91" t="s">
        <v>114</v>
      </c>
      <c r="U91">
        <v>16</v>
      </c>
      <c r="V91" t="s">
        <v>58</v>
      </c>
      <c r="W91" t="s">
        <v>59</v>
      </c>
      <c r="X91" t="s">
        <v>60</v>
      </c>
      <c r="Y91">
        <v>0</v>
      </c>
      <c r="AG91">
        <v>1697</v>
      </c>
      <c r="AH91">
        <v>28</v>
      </c>
      <c r="AI91">
        <v>96</v>
      </c>
      <c r="AJ91">
        <v>26</v>
      </c>
      <c r="AK91">
        <v>5</v>
      </c>
      <c r="AN91">
        <v>1</v>
      </c>
      <c r="AO91" t="s">
        <v>115</v>
      </c>
      <c r="AP91" t="s">
        <v>116</v>
      </c>
      <c r="AQ91">
        <v>28.273253</v>
      </c>
      <c r="AR91">
        <v>-82.687230999999997</v>
      </c>
      <c r="AS91">
        <v>85</v>
      </c>
      <c r="AT91">
        <v>9</v>
      </c>
      <c r="AU91">
        <v>12</v>
      </c>
      <c r="AV91">
        <v>654</v>
      </c>
      <c r="AW91" t="s">
        <v>117</v>
      </c>
      <c r="AX91">
        <v>12</v>
      </c>
      <c r="AY91">
        <v>12101</v>
      </c>
      <c r="AZ91">
        <v>21</v>
      </c>
    </row>
    <row r="92" spans="1:52" x14ac:dyDescent="0.3">
      <c r="A92">
        <v>10</v>
      </c>
      <c r="B92" s="3">
        <v>170993000000</v>
      </c>
      <c r="C92" t="s">
        <v>126</v>
      </c>
      <c r="D92" t="str">
        <f>IF(ISNUMBER(SEARCH("Elementary",C92)), "Elementary School","")</f>
        <v>Elementary School</v>
      </c>
      <c r="E92">
        <v>1709930</v>
      </c>
      <c r="F92" t="s">
        <v>127</v>
      </c>
      <c r="G92" s="1">
        <v>36570</v>
      </c>
      <c r="H92" t="s">
        <v>81</v>
      </c>
      <c r="I92">
        <v>2000</v>
      </c>
      <c r="K92" t="s">
        <v>82</v>
      </c>
      <c r="L92" t="s">
        <v>128</v>
      </c>
      <c r="M92" t="s">
        <v>129</v>
      </c>
      <c r="N92" s="4">
        <v>12671469</v>
      </c>
      <c r="O92" t="s">
        <v>56</v>
      </c>
      <c r="P92">
        <v>736</v>
      </c>
      <c r="Q92">
        <v>0</v>
      </c>
      <c r="R92">
        <v>1</v>
      </c>
      <c r="S92">
        <v>1</v>
      </c>
      <c r="T92" t="s">
        <v>114</v>
      </c>
      <c r="U92">
        <v>11</v>
      </c>
      <c r="V92" t="s">
        <v>58</v>
      </c>
      <c r="X92" t="s">
        <v>60</v>
      </c>
      <c r="Y92">
        <v>0</v>
      </c>
      <c r="AG92">
        <v>0</v>
      </c>
      <c r="AH92">
        <v>736</v>
      </c>
      <c r="AI92">
        <v>0</v>
      </c>
      <c r="AJ92">
        <v>0</v>
      </c>
      <c r="AK92">
        <v>0</v>
      </c>
      <c r="AN92">
        <v>0</v>
      </c>
      <c r="AQ92">
        <v>41.885272000000001</v>
      </c>
      <c r="AR92">
        <v>-87.766041999999999</v>
      </c>
      <c r="AS92">
        <v>37</v>
      </c>
      <c r="AT92" t="s">
        <v>130</v>
      </c>
      <c r="AU92">
        <v>6</v>
      </c>
      <c r="AW92" t="s">
        <v>131</v>
      </c>
      <c r="AX92">
        <v>17</v>
      </c>
      <c r="AY92">
        <v>17031</v>
      </c>
      <c r="AZ92">
        <v>11</v>
      </c>
    </row>
    <row r="93" spans="1:52" x14ac:dyDescent="0.3">
      <c r="A93">
        <v>13</v>
      </c>
      <c r="B93" s="3">
        <v>260450000000</v>
      </c>
      <c r="C93" t="s">
        <v>142</v>
      </c>
      <c r="D93" t="str">
        <f>IF(ISNUMBER(SEARCH("Elementary",C93)), "Elementary School","")</f>
        <v>Elementary School</v>
      </c>
      <c r="E93">
        <v>2604500</v>
      </c>
      <c r="F93" t="s">
        <v>143</v>
      </c>
      <c r="G93" s="1">
        <v>36585</v>
      </c>
      <c r="H93" t="s">
        <v>81</v>
      </c>
      <c r="I93">
        <v>2000</v>
      </c>
      <c r="J93" s="2">
        <v>0.41666666666666669</v>
      </c>
      <c r="K93" t="s">
        <v>53</v>
      </c>
      <c r="L93" t="s">
        <v>144</v>
      </c>
      <c r="M93" t="s">
        <v>145</v>
      </c>
      <c r="N93" s="4">
        <v>10050811</v>
      </c>
      <c r="O93" t="s">
        <v>56</v>
      </c>
      <c r="P93">
        <v>459</v>
      </c>
      <c r="Q93">
        <v>1</v>
      </c>
      <c r="R93">
        <v>0</v>
      </c>
      <c r="S93">
        <v>1</v>
      </c>
      <c r="T93" t="s">
        <v>70</v>
      </c>
      <c r="U93">
        <v>6</v>
      </c>
      <c r="V93" t="s">
        <v>58</v>
      </c>
      <c r="W93" t="s">
        <v>146</v>
      </c>
      <c r="X93" t="s">
        <v>60</v>
      </c>
      <c r="Y93">
        <v>0</v>
      </c>
      <c r="AG93">
        <v>125</v>
      </c>
      <c r="AH93">
        <v>261</v>
      </c>
      <c r="AI93">
        <v>37</v>
      </c>
      <c r="AJ93">
        <v>0</v>
      </c>
      <c r="AK93">
        <v>1</v>
      </c>
      <c r="AN93">
        <v>0</v>
      </c>
      <c r="AO93" t="s">
        <v>147</v>
      </c>
      <c r="AP93" t="s">
        <v>148</v>
      </c>
      <c r="AQ93">
        <v>43.079604000000003</v>
      </c>
      <c r="AR93">
        <v>-83.706036999999995</v>
      </c>
      <c r="AS93">
        <v>20</v>
      </c>
      <c r="AT93" t="s">
        <v>124</v>
      </c>
      <c r="AU93">
        <v>4</v>
      </c>
      <c r="AV93">
        <v>421</v>
      </c>
      <c r="AW93" t="s">
        <v>149</v>
      </c>
      <c r="AX93">
        <v>26</v>
      </c>
      <c r="AY93">
        <v>26049</v>
      </c>
      <c r="AZ93">
        <v>21</v>
      </c>
    </row>
    <row r="94" spans="1:52" x14ac:dyDescent="0.3">
      <c r="A94">
        <v>14</v>
      </c>
      <c r="B94" s="3">
        <v>401521000000</v>
      </c>
      <c r="C94" t="s">
        <v>150</v>
      </c>
      <c r="D94" t="str">
        <f>IF(ISNUMBER(SEARCH("High",C94)), "High School","")</f>
        <v>High School</v>
      </c>
      <c r="E94">
        <v>4015210</v>
      </c>
      <c r="F94" t="s">
        <v>151</v>
      </c>
      <c r="G94" s="1">
        <v>36622</v>
      </c>
      <c r="H94" t="s">
        <v>81</v>
      </c>
      <c r="I94">
        <v>2000</v>
      </c>
      <c r="J94" s="2">
        <v>0.5</v>
      </c>
      <c r="K94" t="s">
        <v>67</v>
      </c>
      <c r="L94" t="s">
        <v>151</v>
      </c>
      <c r="M94" t="s">
        <v>105</v>
      </c>
      <c r="N94" s="4">
        <v>3986639</v>
      </c>
      <c r="O94" t="s">
        <v>56</v>
      </c>
      <c r="P94">
        <v>499</v>
      </c>
      <c r="Q94">
        <v>0</v>
      </c>
      <c r="R94">
        <v>1</v>
      </c>
      <c r="S94">
        <v>1</v>
      </c>
      <c r="T94" t="s">
        <v>70</v>
      </c>
      <c r="U94">
        <v>33</v>
      </c>
      <c r="V94" t="s">
        <v>152</v>
      </c>
      <c r="X94" t="s">
        <v>153</v>
      </c>
      <c r="Y94">
        <v>0</v>
      </c>
      <c r="AG94">
        <v>263</v>
      </c>
      <c r="AH94">
        <v>117</v>
      </c>
      <c r="AI94">
        <v>11</v>
      </c>
      <c r="AJ94">
        <v>1</v>
      </c>
      <c r="AK94">
        <v>107</v>
      </c>
      <c r="AN94">
        <v>1</v>
      </c>
      <c r="AO94" t="s">
        <v>154</v>
      </c>
      <c r="AP94" t="s">
        <v>155</v>
      </c>
      <c r="AQ94">
        <v>34.010731999999997</v>
      </c>
      <c r="AR94">
        <v>-95.511435000000006</v>
      </c>
      <c r="AS94">
        <v>34.700000000000003</v>
      </c>
      <c r="AT94">
        <v>9</v>
      </c>
      <c r="AU94">
        <v>12</v>
      </c>
      <c r="AV94">
        <v>236</v>
      </c>
      <c r="AW94" t="s">
        <v>156</v>
      </c>
      <c r="AX94">
        <v>40</v>
      </c>
      <c r="AY94">
        <v>40023</v>
      </c>
      <c r="AZ94">
        <v>33</v>
      </c>
    </row>
    <row r="95" spans="1:52" x14ac:dyDescent="0.3">
      <c r="A95">
        <v>15</v>
      </c>
      <c r="B95">
        <v>40146000077</v>
      </c>
      <c r="C95" t="s">
        <v>157</v>
      </c>
      <c r="D95" t="str">
        <f>IF(ISNUMBER(SEARCH("Elementary",C95)), "Elementary School","")</f>
        <v>Elementary School</v>
      </c>
      <c r="E95">
        <v>401460</v>
      </c>
      <c r="F95" t="s">
        <v>158</v>
      </c>
      <c r="G95" s="1">
        <v>36656</v>
      </c>
      <c r="H95" t="s">
        <v>81</v>
      </c>
      <c r="I95">
        <v>2000</v>
      </c>
      <c r="J95" s="2">
        <v>0.5625</v>
      </c>
      <c r="K95" t="s">
        <v>90</v>
      </c>
      <c r="L95" t="s">
        <v>159</v>
      </c>
      <c r="M95" t="s">
        <v>160</v>
      </c>
      <c r="N95" s="4">
        <v>7276316</v>
      </c>
      <c r="O95" t="s">
        <v>56</v>
      </c>
      <c r="P95">
        <v>397</v>
      </c>
      <c r="Q95">
        <v>1</v>
      </c>
      <c r="R95">
        <v>0</v>
      </c>
      <c r="S95">
        <v>1</v>
      </c>
      <c r="T95" t="s">
        <v>70</v>
      </c>
      <c r="U95">
        <v>39</v>
      </c>
      <c r="V95" t="s">
        <v>58</v>
      </c>
      <c r="X95" t="s">
        <v>161</v>
      </c>
      <c r="Y95">
        <v>1</v>
      </c>
      <c r="Z95" t="s">
        <v>61</v>
      </c>
      <c r="AG95">
        <v>178</v>
      </c>
      <c r="AH95">
        <v>51</v>
      </c>
      <c r="AI95">
        <v>154</v>
      </c>
      <c r="AJ95">
        <v>8</v>
      </c>
      <c r="AK95">
        <v>6</v>
      </c>
      <c r="AN95">
        <v>0</v>
      </c>
      <c r="AQ95">
        <v>31.56269</v>
      </c>
      <c r="AR95">
        <v>-110.29924</v>
      </c>
      <c r="AS95">
        <v>24.5</v>
      </c>
      <c r="AT95" t="s">
        <v>124</v>
      </c>
      <c r="AU95">
        <v>5</v>
      </c>
      <c r="AW95" t="s">
        <v>162</v>
      </c>
      <c r="AX95">
        <v>4</v>
      </c>
      <c r="AY95">
        <v>4003</v>
      </c>
      <c r="AZ95">
        <v>13</v>
      </c>
    </row>
    <row r="96" spans="1:52" x14ac:dyDescent="0.3">
      <c r="A96">
        <v>16</v>
      </c>
      <c r="B96" s="3">
        <v>120150000000</v>
      </c>
      <c r="C96" t="s">
        <v>163</v>
      </c>
      <c r="D96" t="str">
        <f>IF(ISNUMBER(SEARCH("Middle",C96)), "Middle School","")</f>
        <v>Middle School</v>
      </c>
      <c r="E96">
        <v>1201500</v>
      </c>
      <c r="F96" t="s">
        <v>164</v>
      </c>
      <c r="G96" s="1">
        <v>36672</v>
      </c>
      <c r="H96" t="s">
        <v>81</v>
      </c>
      <c r="I96">
        <v>2000</v>
      </c>
      <c r="J96" s="2">
        <v>0.625</v>
      </c>
      <c r="K96" t="s">
        <v>95</v>
      </c>
      <c r="L96" t="s">
        <v>165</v>
      </c>
      <c r="M96" t="s">
        <v>113</v>
      </c>
      <c r="N96" s="4">
        <v>21781128</v>
      </c>
      <c r="O96" t="s">
        <v>56</v>
      </c>
      <c r="P96">
        <v>1525</v>
      </c>
      <c r="Q96">
        <v>1</v>
      </c>
      <c r="R96">
        <v>0</v>
      </c>
      <c r="S96">
        <v>1</v>
      </c>
      <c r="T96" t="s">
        <v>70</v>
      </c>
      <c r="U96">
        <v>13</v>
      </c>
      <c r="V96" t="s">
        <v>58</v>
      </c>
      <c r="W96" t="s">
        <v>146</v>
      </c>
      <c r="X96" t="s">
        <v>60</v>
      </c>
      <c r="Y96">
        <v>0</v>
      </c>
      <c r="AG96">
        <v>414</v>
      </c>
      <c r="AH96">
        <v>560</v>
      </c>
      <c r="AI96">
        <v>528</v>
      </c>
      <c r="AJ96">
        <v>17</v>
      </c>
      <c r="AK96">
        <v>6</v>
      </c>
      <c r="AN96">
        <v>0</v>
      </c>
      <c r="AO96" t="s">
        <v>166</v>
      </c>
      <c r="AP96" t="s">
        <v>167</v>
      </c>
      <c r="AQ96">
        <v>26.451350999999999</v>
      </c>
      <c r="AR96">
        <v>-80.085967999999994</v>
      </c>
      <c r="AS96">
        <v>95</v>
      </c>
      <c r="AT96">
        <v>6</v>
      </c>
      <c r="AU96">
        <v>8</v>
      </c>
      <c r="AV96">
        <v>1186</v>
      </c>
      <c r="AW96" t="s">
        <v>168</v>
      </c>
      <c r="AX96">
        <v>12</v>
      </c>
      <c r="AY96">
        <v>12099</v>
      </c>
      <c r="AZ96">
        <v>21</v>
      </c>
    </row>
    <row r="97" spans="1:52" x14ac:dyDescent="0.3">
      <c r="A97">
        <v>19</v>
      </c>
      <c r="B97" s="3">
        <v>220117000000</v>
      </c>
      <c r="C97" t="s">
        <v>184</v>
      </c>
      <c r="D97" t="str">
        <f>IF(ISNUMBER(SEARCH("Middle",C97)), "Middle School","")</f>
        <v>Middle School</v>
      </c>
      <c r="E97">
        <v>2201170</v>
      </c>
      <c r="F97" t="s">
        <v>185</v>
      </c>
      <c r="G97" s="1">
        <v>36795</v>
      </c>
      <c r="H97" t="s">
        <v>178</v>
      </c>
      <c r="I97">
        <v>2000</v>
      </c>
      <c r="J97" s="2">
        <v>0.5</v>
      </c>
      <c r="K97" t="s">
        <v>53</v>
      </c>
      <c r="L97" t="s">
        <v>186</v>
      </c>
      <c r="M97" t="s">
        <v>69</v>
      </c>
      <c r="N97" s="4">
        <v>4624047</v>
      </c>
      <c r="O97" t="s">
        <v>56</v>
      </c>
      <c r="P97">
        <v>686</v>
      </c>
      <c r="Q97">
        <v>0</v>
      </c>
      <c r="R97">
        <v>1</v>
      </c>
      <c r="S97">
        <v>1</v>
      </c>
      <c r="T97" t="s">
        <v>70</v>
      </c>
      <c r="U97">
        <v>13</v>
      </c>
      <c r="V97" t="s">
        <v>58</v>
      </c>
      <c r="X97" t="s">
        <v>60</v>
      </c>
      <c r="Y97">
        <v>0</v>
      </c>
      <c r="AG97">
        <v>0</v>
      </c>
      <c r="AH97">
        <v>685</v>
      </c>
      <c r="AI97">
        <v>1</v>
      </c>
      <c r="AJ97">
        <v>0</v>
      </c>
      <c r="AK97">
        <v>0</v>
      </c>
      <c r="AN97">
        <v>0</v>
      </c>
      <c r="AO97" t="s">
        <v>187</v>
      </c>
      <c r="AQ97">
        <v>29.939675999999999</v>
      </c>
      <c r="AR97">
        <v>-90.090046000000001</v>
      </c>
      <c r="AS97">
        <v>45</v>
      </c>
      <c r="AT97">
        <v>6</v>
      </c>
      <c r="AU97">
        <v>8</v>
      </c>
      <c r="AV97">
        <v>551</v>
      </c>
      <c r="AW97" t="s">
        <v>188</v>
      </c>
      <c r="AX97">
        <v>22</v>
      </c>
      <c r="AY97">
        <v>22071</v>
      </c>
      <c r="AZ97">
        <v>11</v>
      </c>
    </row>
    <row r="98" spans="1:52" x14ac:dyDescent="0.3">
      <c r="A98">
        <v>21</v>
      </c>
      <c r="B98" s="3">
        <v>240009000000</v>
      </c>
      <c r="C98" t="s">
        <v>195</v>
      </c>
      <c r="D98" t="str">
        <f>IF(ISNUMBER(SEARCH("High",C98)), "High School","")</f>
        <v>High School</v>
      </c>
      <c r="E98">
        <v>2400090</v>
      </c>
      <c r="F98" t="s">
        <v>196</v>
      </c>
      <c r="G98" s="1">
        <v>36908</v>
      </c>
      <c r="H98" t="s">
        <v>178</v>
      </c>
      <c r="I98">
        <v>2001</v>
      </c>
      <c r="J98" s="2">
        <v>0.36458333333333331</v>
      </c>
      <c r="K98" t="s">
        <v>90</v>
      </c>
      <c r="L98" t="s">
        <v>197</v>
      </c>
      <c r="M98" t="s">
        <v>198</v>
      </c>
      <c r="N98" s="4">
        <v>6165129</v>
      </c>
      <c r="O98" t="s">
        <v>56</v>
      </c>
      <c r="P98">
        <v>2236</v>
      </c>
      <c r="Q98">
        <v>1</v>
      </c>
      <c r="R98">
        <v>0</v>
      </c>
      <c r="S98">
        <v>1</v>
      </c>
      <c r="T98" t="s">
        <v>70</v>
      </c>
      <c r="U98">
        <v>19</v>
      </c>
      <c r="V98" t="s">
        <v>58</v>
      </c>
      <c r="X98" t="s">
        <v>199</v>
      </c>
      <c r="Y98">
        <v>0</v>
      </c>
      <c r="AG98">
        <v>24</v>
      </c>
      <c r="AH98">
        <v>2205</v>
      </c>
      <c r="AI98">
        <v>2</v>
      </c>
      <c r="AJ98">
        <v>4</v>
      </c>
      <c r="AK98">
        <v>1</v>
      </c>
      <c r="AN98">
        <v>0</v>
      </c>
      <c r="AO98" t="s">
        <v>200</v>
      </c>
      <c r="AQ98">
        <v>39.316116000000001</v>
      </c>
      <c r="AR98">
        <v>-76.590038000000007</v>
      </c>
      <c r="AS98">
        <v>126.5</v>
      </c>
      <c r="AT98" t="s">
        <v>130</v>
      </c>
      <c r="AU98">
        <v>12</v>
      </c>
      <c r="AV98">
        <v>914</v>
      </c>
      <c r="AW98" t="s">
        <v>201</v>
      </c>
      <c r="AX98">
        <v>24</v>
      </c>
      <c r="AY98">
        <v>24510</v>
      </c>
      <c r="AZ98">
        <v>11</v>
      </c>
    </row>
    <row r="99" spans="1:52" x14ac:dyDescent="0.3">
      <c r="A99">
        <v>22</v>
      </c>
      <c r="B99" s="3">
        <v>481623000000</v>
      </c>
      <c r="C99" t="s">
        <v>202</v>
      </c>
      <c r="D99" t="str">
        <f>IF(ISNUMBER(SEARCH("Middle",C99)), "Middle School","")</f>
        <v>Middle School</v>
      </c>
      <c r="E99">
        <v>4816230</v>
      </c>
      <c r="F99" t="s">
        <v>203</v>
      </c>
      <c r="G99" s="1">
        <v>36928</v>
      </c>
      <c r="H99" t="s">
        <v>178</v>
      </c>
      <c r="I99">
        <v>2001</v>
      </c>
      <c r="K99" t="s">
        <v>53</v>
      </c>
      <c r="L99" t="s">
        <v>204</v>
      </c>
      <c r="M99" t="s">
        <v>205</v>
      </c>
      <c r="N99" s="4">
        <v>29527941</v>
      </c>
      <c r="O99" t="s">
        <v>56</v>
      </c>
      <c r="P99">
        <v>879</v>
      </c>
      <c r="Q99">
        <v>0</v>
      </c>
      <c r="R99">
        <v>1</v>
      </c>
      <c r="S99">
        <v>1</v>
      </c>
      <c r="T99" t="s">
        <v>70</v>
      </c>
      <c r="U99">
        <v>14</v>
      </c>
      <c r="V99" t="s">
        <v>58</v>
      </c>
      <c r="X99" t="s">
        <v>206</v>
      </c>
      <c r="Y99">
        <v>0</v>
      </c>
      <c r="AG99">
        <v>3</v>
      </c>
      <c r="AH99">
        <v>793</v>
      </c>
      <c r="AI99">
        <v>82</v>
      </c>
      <c r="AJ99">
        <v>0</v>
      </c>
      <c r="AK99">
        <v>1</v>
      </c>
      <c r="AN99">
        <v>1</v>
      </c>
      <c r="AO99" t="s">
        <v>207</v>
      </c>
      <c r="AQ99">
        <v>32.759323000000002</v>
      </c>
      <c r="AR99">
        <v>-96.744388999999998</v>
      </c>
      <c r="AS99">
        <v>89.3</v>
      </c>
      <c r="AT99">
        <v>7</v>
      </c>
      <c r="AU99">
        <v>8</v>
      </c>
      <c r="AV99">
        <v>607</v>
      </c>
      <c r="AW99" t="s">
        <v>208</v>
      </c>
      <c r="AX99">
        <v>48</v>
      </c>
      <c r="AY99">
        <v>48113</v>
      </c>
      <c r="AZ99">
        <v>11</v>
      </c>
    </row>
    <row r="100" spans="1:52" x14ac:dyDescent="0.3">
      <c r="A100">
        <v>24</v>
      </c>
      <c r="B100">
        <v>1195358</v>
      </c>
      <c r="C100" t="s">
        <v>214</v>
      </c>
      <c r="D100" t="str">
        <f>IF(ISNUMBER(SEARCH("High",C100)), "High School","")</f>
        <v>High School</v>
      </c>
      <c r="G100" s="1">
        <v>36957</v>
      </c>
      <c r="H100" t="s">
        <v>178</v>
      </c>
      <c r="I100">
        <v>2001</v>
      </c>
      <c r="J100" s="2">
        <v>0.5</v>
      </c>
      <c r="K100" t="s">
        <v>90</v>
      </c>
      <c r="L100" t="s">
        <v>215</v>
      </c>
      <c r="M100" t="s">
        <v>84</v>
      </c>
      <c r="N100" s="4">
        <v>12964056</v>
      </c>
      <c r="O100" t="s">
        <v>216</v>
      </c>
      <c r="P100">
        <v>227</v>
      </c>
      <c r="Q100">
        <v>0</v>
      </c>
      <c r="R100">
        <v>1</v>
      </c>
      <c r="S100">
        <v>1</v>
      </c>
      <c r="T100" t="s">
        <v>70</v>
      </c>
      <c r="U100">
        <v>14</v>
      </c>
      <c r="V100" t="s">
        <v>152</v>
      </c>
      <c r="W100" t="s">
        <v>59</v>
      </c>
      <c r="X100" t="s">
        <v>60</v>
      </c>
      <c r="Y100">
        <v>0</v>
      </c>
      <c r="AG100">
        <v>208</v>
      </c>
      <c r="AH100">
        <v>10</v>
      </c>
      <c r="AI100">
        <v>5</v>
      </c>
      <c r="AJ100">
        <v>4</v>
      </c>
      <c r="AK100">
        <v>0</v>
      </c>
      <c r="AN100">
        <v>0</v>
      </c>
      <c r="AO100" t="s">
        <v>212</v>
      </c>
      <c r="AP100" t="s">
        <v>108</v>
      </c>
      <c r="AQ100">
        <v>41.249265999999999</v>
      </c>
      <c r="AR100">
        <v>-76.996564000000006</v>
      </c>
      <c r="AS100">
        <v>21.125</v>
      </c>
      <c r="AT100">
        <v>7</v>
      </c>
      <c r="AU100">
        <v>12</v>
      </c>
      <c r="AW100" t="s">
        <v>217</v>
      </c>
      <c r="AX100">
        <v>42</v>
      </c>
      <c r="AY100">
        <v>42081</v>
      </c>
      <c r="AZ100">
        <v>13</v>
      </c>
    </row>
    <row r="101" spans="1:52" x14ac:dyDescent="0.3">
      <c r="A101">
        <v>26</v>
      </c>
      <c r="B101" s="3">
        <v>180387000000</v>
      </c>
      <c r="C101" t="s">
        <v>222</v>
      </c>
      <c r="D101" t="str">
        <f>IF(ISNUMBER(SEARCH("High",C101)), "High School","")</f>
        <v>High School</v>
      </c>
      <c r="E101">
        <v>1803870</v>
      </c>
      <c r="F101" t="s">
        <v>223</v>
      </c>
      <c r="G101" s="1">
        <v>36980</v>
      </c>
      <c r="H101" t="s">
        <v>178</v>
      </c>
      <c r="I101">
        <v>2001</v>
      </c>
      <c r="J101" s="2">
        <v>0.34375</v>
      </c>
      <c r="K101" t="s">
        <v>95</v>
      </c>
      <c r="L101" t="s">
        <v>224</v>
      </c>
      <c r="M101" t="s">
        <v>225</v>
      </c>
      <c r="N101" s="4">
        <v>6805985</v>
      </c>
      <c r="O101" t="s">
        <v>56</v>
      </c>
      <c r="P101">
        <v>1179</v>
      </c>
      <c r="Q101">
        <v>1</v>
      </c>
      <c r="R101">
        <v>0</v>
      </c>
      <c r="S101">
        <v>1</v>
      </c>
      <c r="T101" t="s">
        <v>70</v>
      </c>
      <c r="U101">
        <v>17</v>
      </c>
      <c r="V101" t="s">
        <v>58</v>
      </c>
      <c r="X101" t="s">
        <v>71</v>
      </c>
      <c r="Y101">
        <v>0</v>
      </c>
      <c r="AG101">
        <v>2</v>
      </c>
      <c r="AH101">
        <v>1135</v>
      </c>
      <c r="AI101">
        <v>39</v>
      </c>
      <c r="AJ101">
        <v>3</v>
      </c>
      <c r="AK101">
        <v>0</v>
      </c>
      <c r="AN101">
        <v>1</v>
      </c>
      <c r="AO101" t="s">
        <v>226</v>
      </c>
      <c r="AQ101">
        <v>41.536645</v>
      </c>
      <c r="AR101">
        <v>-87.341319999999996</v>
      </c>
      <c r="AS101">
        <v>64</v>
      </c>
      <c r="AT101">
        <v>9</v>
      </c>
      <c r="AU101">
        <v>12</v>
      </c>
      <c r="AV101">
        <v>446</v>
      </c>
      <c r="AW101" t="s">
        <v>227</v>
      </c>
      <c r="AX101">
        <v>18</v>
      </c>
      <c r="AY101">
        <v>18089</v>
      </c>
      <c r="AZ101">
        <v>13</v>
      </c>
    </row>
    <row r="102" spans="1:52" x14ac:dyDescent="0.3">
      <c r="A102">
        <v>29</v>
      </c>
      <c r="B102">
        <v>62271007751</v>
      </c>
      <c r="C102" t="s">
        <v>239</v>
      </c>
      <c r="D102" t="str">
        <f>IF(ISNUMBER(SEARCH("High",C102)), "High School","")</f>
        <v>High School</v>
      </c>
      <c r="E102">
        <v>622710</v>
      </c>
      <c r="F102" t="s">
        <v>240</v>
      </c>
      <c r="G102" s="1">
        <v>37102</v>
      </c>
      <c r="H102" t="s">
        <v>178</v>
      </c>
      <c r="I102">
        <v>2001</v>
      </c>
      <c r="J102" s="2">
        <v>0.30555555555555552</v>
      </c>
      <c r="K102" t="s">
        <v>82</v>
      </c>
      <c r="L102" t="s">
        <v>241</v>
      </c>
      <c r="M102" t="s">
        <v>121</v>
      </c>
      <c r="N102" s="4">
        <v>39237836</v>
      </c>
      <c r="O102" t="s">
        <v>56</v>
      </c>
      <c r="P102">
        <v>5264</v>
      </c>
      <c r="Q102">
        <v>0</v>
      </c>
      <c r="R102">
        <v>1</v>
      </c>
      <c r="S102">
        <v>1</v>
      </c>
      <c r="T102" t="s">
        <v>70</v>
      </c>
      <c r="V102" t="s">
        <v>58</v>
      </c>
      <c r="Y102">
        <v>0</v>
      </c>
      <c r="AG102">
        <v>27</v>
      </c>
      <c r="AH102">
        <v>98</v>
      </c>
      <c r="AI102">
        <v>4679</v>
      </c>
      <c r="AJ102">
        <v>456</v>
      </c>
      <c r="AK102">
        <v>4</v>
      </c>
      <c r="AN102">
        <v>1</v>
      </c>
      <c r="AO102" t="s">
        <v>242</v>
      </c>
      <c r="AQ102">
        <v>34.061498999999998</v>
      </c>
      <c r="AR102">
        <v>-118.26328599999999</v>
      </c>
      <c r="AS102">
        <v>194.3</v>
      </c>
      <c r="AT102">
        <v>9</v>
      </c>
      <c r="AU102">
        <v>12</v>
      </c>
      <c r="AV102">
        <v>4046</v>
      </c>
      <c r="AW102" t="s">
        <v>243</v>
      </c>
      <c r="AX102">
        <v>6</v>
      </c>
      <c r="AY102">
        <v>6037</v>
      </c>
      <c r="AZ102">
        <v>11</v>
      </c>
    </row>
    <row r="103" spans="1:52" x14ac:dyDescent="0.3">
      <c r="A103">
        <v>30</v>
      </c>
      <c r="B103" s="3">
        <v>210135000000</v>
      </c>
      <c r="C103" t="s">
        <v>244</v>
      </c>
      <c r="D103" t="str">
        <f>IF(ISNUMBER(SEARCH("Elementary",C103)), "Elementary School","")</f>
        <v>Elementary School</v>
      </c>
      <c r="E103">
        <v>2101350</v>
      </c>
      <c r="F103" t="s">
        <v>245</v>
      </c>
      <c r="G103" s="1">
        <v>37146</v>
      </c>
      <c r="H103" t="s">
        <v>246</v>
      </c>
      <c r="I103">
        <v>2001</v>
      </c>
      <c r="J103" s="2">
        <v>0.625</v>
      </c>
      <c r="K103" t="s">
        <v>90</v>
      </c>
      <c r="L103" t="s">
        <v>247</v>
      </c>
      <c r="M103" t="s">
        <v>248</v>
      </c>
      <c r="N103" s="4">
        <v>4509394</v>
      </c>
      <c r="O103" t="s">
        <v>56</v>
      </c>
      <c r="P103">
        <v>526</v>
      </c>
      <c r="Q103">
        <v>1</v>
      </c>
      <c r="R103">
        <v>0</v>
      </c>
      <c r="S103">
        <v>1</v>
      </c>
      <c r="T103" t="s">
        <v>70</v>
      </c>
      <c r="U103">
        <v>30</v>
      </c>
      <c r="V103" t="s">
        <v>152</v>
      </c>
      <c r="W103" t="s">
        <v>59</v>
      </c>
      <c r="X103" t="s">
        <v>153</v>
      </c>
      <c r="Y103">
        <v>0</v>
      </c>
      <c r="AG103">
        <v>441</v>
      </c>
      <c r="AH103">
        <v>81</v>
      </c>
      <c r="AI103">
        <v>0</v>
      </c>
      <c r="AJ103">
        <v>1</v>
      </c>
      <c r="AK103">
        <v>3</v>
      </c>
      <c r="AN103">
        <v>0</v>
      </c>
      <c r="AO103" t="s">
        <v>249</v>
      </c>
      <c r="AQ103">
        <v>39.044148999999997</v>
      </c>
      <c r="AR103">
        <v>-84.498329999999996</v>
      </c>
      <c r="AS103">
        <v>16.8</v>
      </c>
      <c r="AT103" t="s">
        <v>124</v>
      </c>
      <c r="AU103">
        <v>5</v>
      </c>
      <c r="AV103">
        <v>350</v>
      </c>
      <c r="AW103" t="s">
        <v>250</v>
      </c>
      <c r="AX103">
        <v>21</v>
      </c>
      <c r="AY103">
        <v>21117</v>
      </c>
      <c r="AZ103">
        <v>21</v>
      </c>
    </row>
    <row r="104" spans="1:52" x14ac:dyDescent="0.3">
      <c r="A104">
        <v>31</v>
      </c>
      <c r="B104">
        <v>60003206330</v>
      </c>
      <c r="C104" t="s">
        <v>251</v>
      </c>
      <c r="D104" t="str">
        <f>IF(ISNUMBER(SEARCH("High",C104)), "High School","")</f>
        <v>High School</v>
      </c>
      <c r="E104">
        <v>600032</v>
      </c>
      <c r="F104" t="s">
        <v>252</v>
      </c>
      <c r="G104" s="1">
        <v>37190</v>
      </c>
      <c r="H104" t="s">
        <v>246</v>
      </c>
      <c r="I104">
        <v>2001</v>
      </c>
      <c r="J104" s="2">
        <v>0.41666666666666669</v>
      </c>
      <c r="K104" t="s">
        <v>95</v>
      </c>
      <c r="L104" t="s">
        <v>253</v>
      </c>
      <c r="M104" t="s">
        <v>121</v>
      </c>
      <c r="N104" s="4">
        <v>39237836</v>
      </c>
      <c r="O104" t="s">
        <v>56</v>
      </c>
      <c r="P104">
        <v>2069</v>
      </c>
      <c r="Q104">
        <v>0</v>
      </c>
      <c r="R104">
        <v>1</v>
      </c>
      <c r="S104">
        <v>1</v>
      </c>
      <c r="T104" t="s">
        <v>114</v>
      </c>
      <c r="U104">
        <v>16</v>
      </c>
      <c r="V104" t="s">
        <v>58</v>
      </c>
      <c r="X104" t="s">
        <v>60</v>
      </c>
      <c r="Y104">
        <v>0</v>
      </c>
      <c r="AG104">
        <v>1199</v>
      </c>
      <c r="AH104">
        <v>121</v>
      </c>
      <c r="AI104">
        <v>518</v>
      </c>
      <c r="AJ104">
        <v>216</v>
      </c>
      <c r="AK104">
        <v>15</v>
      </c>
      <c r="AN104">
        <v>0</v>
      </c>
      <c r="AO104" t="s">
        <v>254</v>
      </c>
      <c r="AQ104">
        <v>33.844273999999999</v>
      </c>
      <c r="AR104">
        <v>-118.384456</v>
      </c>
      <c r="AS104">
        <v>94.4</v>
      </c>
      <c r="AT104">
        <v>9</v>
      </c>
      <c r="AU104">
        <v>12</v>
      </c>
      <c r="AV104">
        <v>465</v>
      </c>
      <c r="AW104" t="s">
        <v>243</v>
      </c>
      <c r="AX104">
        <v>6</v>
      </c>
      <c r="AY104">
        <v>6037</v>
      </c>
      <c r="AZ104">
        <v>21</v>
      </c>
    </row>
    <row r="105" spans="1:52" x14ac:dyDescent="0.3">
      <c r="A105">
        <v>35</v>
      </c>
      <c r="B105" s="3">
        <v>240051000000</v>
      </c>
      <c r="C105" t="s">
        <v>268</v>
      </c>
      <c r="D105" t="str">
        <f>IF(ISNUMBER(SEARCH("Middle",C105)), "Middle School","")</f>
        <v>Middle School</v>
      </c>
      <c r="E105">
        <v>2400510</v>
      </c>
      <c r="F105" t="s">
        <v>269</v>
      </c>
      <c r="G105" s="1">
        <v>37536</v>
      </c>
      <c r="H105" t="s">
        <v>270</v>
      </c>
      <c r="I105">
        <v>2002</v>
      </c>
      <c r="J105" s="2">
        <v>0.33958333333333335</v>
      </c>
      <c r="K105" t="s">
        <v>82</v>
      </c>
      <c r="L105" t="s">
        <v>271</v>
      </c>
      <c r="M105" t="s">
        <v>198</v>
      </c>
      <c r="N105" s="4">
        <v>6165129</v>
      </c>
      <c r="O105" t="s">
        <v>56</v>
      </c>
      <c r="P105">
        <v>1371</v>
      </c>
      <c r="Q105">
        <v>0</v>
      </c>
      <c r="R105">
        <v>1</v>
      </c>
      <c r="S105">
        <v>1</v>
      </c>
      <c r="T105" t="s">
        <v>57</v>
      </c>
      <c r="V105" t="s">
        <v>58</v>
      </c>
      <c r="W105" t="s">
        <v>146</v>
      </c>
      <c r="X105" t="s">
        <v>199</v>
      </c>
      <c r="Y105">
        <v>0</v>
      </c>
      <c r="AG105">
        <v>562</v>
      </c>
      <c r="AH105">
        <v>706</v>
      </c>
      <c r="AI105">
        <v>47</v>
      </c>
      <c r="AJ105">
        <v>52</v>
      </c>
      <c r="AK105">
        <v>4</v>
      </c>
      <c r="AN105">
        <v>0</v>
      </c>
      <c r="AO105" t="s">
        <v>272</v>
      </c>
      <c r="AP105" t="s">
        <v>116</v>
      </c>
      <c r="AQ105">
        <v>38.957407000000003</v>
      </c>
      <c r="AR105">
        <v>-76.746341000000001</v>
      </c>
      <c r="AS105">
        <v>73.7</v>
      </c>
      <c r="AT105">
        <v>7</v>
      </c>
      <c r="AU105">
        <v>8</v>
      </c>
      <c r="AV105">
        <v>197</v>
      </c>
      <c r="AW105" t="s">
        <v>273</v>
      </c>
      <c r="AX105">
        <v>24</v>
      </c>
      <c r="AY105">
        <v>24033</v>
      </c>
      <c r="AZ105">
        <v>21</v>
      </c>
    </row>
    <row r="106" spans="1:52" x14ac:dyDescent="0.3">
      <c r="A106">
        <v>36</v>
      </c>
      <c r="B106" s="3">
        <v>340783000000</v>
      </c>
      <c r="C106" t="s">
        <v>274</v>
      </c>
      <c r="D106" t="str">
        <f>IF(ISNUMBER(SEARCH("High",C106)), "High School","")</f>
        <v>High School</v>
      </c>
      <c r="E106">
        <v>3407830</v>
      </c>
      <c r="F106" t="s">
        <v>275</v>
      </c>
      <c r="G106" s="1">
        <v>37558</v>
      </c>
      <c r="H106" t="s">
        <v>270</v>
      </c>
      <c r="I106">
        <v>2002</v>
      </c>
      <c r="J106" s="2">
        <v>0.35416666666666669</v>
      </c>
      <c r="K106" t="s">
        <v>53</v>
      </c>
      <c r="L106" t="s">
        <v>275</v>
      </c>
      <c r="M106" t="s">
        <v>276</v>
      </c>
      <c r="N106" s="4">
        <v>9267130</v>
      </c>
      <c r="O106" t="s">
        <v>56</v>
      </c>
      <c r="P106">
        <v>986</v>
      </c>
      <c r="Q106">
        <v>0</v>
      </c>
      <c r="R106">
        <v>1</v>
      </c>
      <c r="S106">
        <v>1</v>
      </c>
      <c r="T106" t="s">
        <v>70</v>
      </c>
      <c r="U106">
        <v>15</v>
      </c>
      <c r="V106" t="s">
        <v>58</v>
      </c>
      <c r="X106" t="s">
        <v>60</v>
      </c>
      <c r="Y106">
        <v>0</v>
      </c>
      <c r="AG106">
        <v>9</v>
      </c>
      <c r="AH106">
        <v>722</v>
      </c>
      <c r="AI106">
        <v>208</v>
      </c>
      <c r="AJ106">
        <v>43</v>
      </c>
      <c r="AK106">
        <v>4</v>
      </c>
      <c r="AN106">
        <v>1</v>
      </c>
      <c r="AO106" t="s">
        <v>277</v>
      </c>
      <c r="AQ106">
        <v>40.716783</v>
      </c>
      <c r="AR106">
        <v>-74.070502000000005</v>
      </c>
      <c r="AS106">
        <v>102</v>
      </c>
      <c r="AT106">
        <v>9</v>
      </c>
      <c r="AU106">
        <v>12</v>
      </c>
      <c r="AV106">
        <v>495</v>
      </c>
      <c r="AW106" t="s">
        <v>278</v>
      </c>
      <c r="AX106">
        <v>34</v>
      </c>
      <c r="AY106">
        <v>34017</v>
      </c>
      <c r="AZ106">
        <v>11</v>
      </c>
    </row>
    <row r="107" spans="1:52" x14ac:dyDescent="0.3">
      <c r="A107">
        <v>40</v>
      </c>
      <c r="B107" s="3">
        <v>110003000000</v>
      </c>
      <c r="C107" t="s">
        <v>294</v>
      </c>
      <c r="D107" t="str">
        <f>IF(ISNUMBER(SEARCH("High",C107)), "High School","")</f>
        <v>High School</v>
      </c>
      <c r="E107">
        <v>1100030</v>
      </c>
      <c r="F107" t="s">
        <v>295</v>
      </c>
      <c r="G107" s="1">
        <v>37712</v>
      </c>
      <c r="H107" t="s">
        <v>270</v>
      </c>
      <c r="I107">
        <v>2003</v>
      </c>
      <c r="J107" s="2">
        <v>0.51041666666666663</v>
      </c>
      <c r="K107" t="s">
        <v>53</v>
      </c>
      <c r="L107" t="s">
        <v>171</v>
      </c>
      <c r="M107" t="s">
        <v>296</v>
      </c>
      <c r="N107" s="4">
        <v>670050</v>
      </c>
      <c r="O107" t="s">
        <v>56</v>
      </c>
      <c r="P107">
        <v>749</v>
      </c>
      <c r="Q107">
        <v>0</v>
      </c>
      <c r="R107">
        <v>1</v>
      </c>
      <c r="S107">
        <v>1</v>
      </c>
      <c r="T107" t="s">
        <v>70</v>
      </c>
      <c r="U107">
        <v>15</v>
      </c>
      <c r="V107" t="s">
        <v>58</v>
      </c>
      <c r="X107" t="s">
        <v>60</v>
      </c>
      <c r="Y107">
        <v>0</v>
      </c>
      <c r="AG107">
        <v>6</v>
      </c>
      <c r="AH107">
        <v>530</v>
      </c>
      <c r="AI107">
        <v>183</v>
      </c>
      <c r="AJ107">
        <v>28</v>
      </c>
      <c r="AK107">
        <v>2</v>
      </c>
      <c r="AN107">
        <v>1</v>
      </c>
      <c r="AO107" t="s">
        <v>136</v>
      </c>
      <c r="AQ107">
        <v>38.922338000000003</v>
      </c>
      <c r="AR107">
        <v>-77.029756000000006</v>
      </c>
      <c r="AT107">
        <v>9</v>
      </c>
      <c r="AU107">
        <v>12</v>
      </c>
      <c r="AV107">
        <v>427</v>
      </c>
      <c r="AW107" t="s">
        <v>296</v>
      </c>
      <c r="AX107">
        <v>11</v>
      </c>
      <c r="AY107">
        <v>11001</v>
      </c>
      <c r="AZ107">
        <v>11</v>
      </c>
    </row>
    <row r="108" spans="1:52" x14ac:dyDescent="0.3">
      <c r="A108">
        <v>42</v>
      </c>
      <c r="B108">
        <v>60003907541</v>
      </c>
      <c r="C108" t="s">
        <v>299</v>
      </c>
      <c r="D108" t="str">
        <f>IF(ISNUMBER(SEARCH("Middle",C108)), "Middle School","")</f>
        <v>Middle School</v>
      </c>
      <c r="E108">
        <v>600039</v>
      </c>
      <c r="F108" t="s">
        <v>300</v>
      </c>
      <c r="G108" s="1">
        <v>37726</v>
      </c>
      <c r="H108" t="s">
        <v>270</v>
      </c>
      <c r="I108">
        <v>2003</v>
      </c>
      <c r="J108" s="2">
        <v>0.34375</v>
      </c>
      <c r="K108" t="s">
        <v>53</v>
      </c>
      <c r="L108" t="s">
        <v>301</v>
      </c>
      <c r="M108" t="s">
        <v>121</v>
      </c>
      <c r="N108" s="4">
        <v>39237836</v>
      </c>
      <c r="O108" t="s">
        <v>56</v>
      </c>
      <c r="P108">
        <v>394</v>
      </c>
      <c r="Q108">
        <v>0</v>
      </c>
      <c r="R108">
        <v>1</v>
      </c>
      <c r="S108">
        <v>1</v>
      </c>
      <c r="T108" t="s">
        <v>70</v>
      </c>
      <c r="V108" t="s">
        <v>58</v>
      </c>
      <c r="Y108">
        <v>0</v>
      </c>
      <c r="AG108">
        <v>101</v>
      </c>
      <c r="AH108">
        <v>7</v>
      </c>
      <c r="AI108">
        <v>273</v>
      </c>
      <c r="AJ108">
        <v>13</v>
      </c>
      <c r="AK108">
        <v>0</v>
      </c>
      <c r="AN108">
        <v>0</v>
      </c>
      <c r="AO108" t="s">
        <v>136</v>
      </c>
      <c r="AQ108">
        <v>37.426800999999998</v>
      </c>
      <c r="AR108">
        <v>-120.79239200000001</v>
      </c>
      <c r="AS108">
        <v>18</v>
      </c>
      <c r="AT108">
        <v>6</v>
      </c>
      <c r="AU108">
        <v>8</v>
      </c>
      <c r="AV108">
        <v>270</v>
      </c>
      <c r="AW108" t="s">
        <v>125</v>
      </c>
      <c r="AX108">
        <v>6</v>
      </c>
      <c r="AY108">
        <v>6047</v>
      </c>
      <c r="AZ108">
        <v>23</v>
      </c>
    </row>
    <row r="109" spans="1:52" x14ac:dyDescent="0.3">
      <c r="A109">
        <v>43</v>
      </c>
      <c r="B109" s="3">
        <v>422010000000</v>
      </c>
      <c r="C109" t="s">
        <v>302</v>
      </c>
      <c r="D109" t="str">
        <f>IF(ISNUMBER(SEARCH("High",C109)), "High School","")</f>
        <v>High School</v>
      </c>
      <c r="E109">
        <v>4220100</v>
      </c>
      <c r="F109" t="s">
        <v>303</v>
      </c>
      <c r="G109" s="1">
        <v>37735</v>
      </c>
      <c r="H109" t="s">
        <v>270</v>
      </c>
      <c r="I109">
        <v>2003</v>
      </c>
      <c r="J109" s="2">
        <v>0.3125</v>
      </c>
      <c r="K109" t="s">
        <v>67</v>
      </c>
      <c r="L109" t="s">
        <v>304</v>
      </c>
      <c r="M109" t="s">
        <v>84</v>
      </c>
      <c r="N109" s="4">
        <v>12964056</v>
      </c>
      <c r="O109" t="s">
        <v>56</v>
      </c>
      <c r="P109">
        <v>965</v>
      </c>
      <c r="Q109">
        <v>1</v>
      </c>
      <c r="R109">
        <v>0</v>
      </c>
      <c r="S109">
        <v>1</v>
      </c>
      <c r="T109" t="s">
        <v>70</v>
      </c>
      <c r="U109">
        <v>14</v>
      </c>
      <c r="V109" t="s">
        <v>58</v>
      </c>
      <c r="W109" t="s">
        <v>59</v>
      </c>
      <c r="X109" t="s">
        <v>60</v>
      </c>
      <c r="Y109">
        <v>1</v>
      </c>
      <c r="Z109" t="s">
        <v>61</v>
      </c>
      <c r="AG109">
        <v>949</v>
      </c>
      <c r="AH109">
        <v>6</v>
      </c>
      <c r="AI109">
        <v>5</v>
      </c>
      <c r="AJ109">
        <v>5</v>
      </c>
      <c r="AK109">
        <v>0</v>
      </c>
      <c r="AN109">
        <v>1</v>
      </c>
      <c r="AO109" t="s">
        <v>305</v>
      </c>
      <c r="AP109" t="s">
        <v>306</v>
      </c>
      <c r="AQ109">
        <v>39.893808999999997</v>
      </c>
      <c r="AR109">
        <v>-76.609728000000004</v>
      </c>
      <c r="AS109">
        <v>46</v>
      </c>
      <c r="AT109">
        <v>7</v>
      </c>
      <c r="AU109">
        <v>8</v>
      </c>
      <c r="AV109">
        <v>156</v>
      </c>
      <c r="AW109" t="s">
        <v>307</v>
      </c>
      <c r="AX109">
        <v>42</v>
      </c>
      <c r="AY109">
        <v>42133</v>
      </c>
      <c r="AZ109">
        <v>22</v>
      </c>
    </row>
    <row r="110" spans="1:52" x14ac:dyDescent="0.3">
      <c r="A110">
        <v>44</v>
      </c>
      <c r="B110" s="3">
        <v>280447000000</v>
      </c>
      <c r="C110" t="s">
        <v>308</v>
      </c>
      <c r="D110" t="str">
        <f>IF(ISNUMBER(SEARCH("High",C110)), "High School","")</f>
        <v>High School</v>
      </c>
      <c r="E110">
        <v>2804470</v>
      </c>
      <c r="F110" t="s">
        <v>309</v>
      </c>
      <c r="G110" s="1">
        <v>37874</v>
      </c>
      <c r="H110" t="s">
        <v>310</v>
      </c>
      <c r="I110">
        <v>2003</v>
      </c>
      <c r="J110" s="2">
        <v>0.60416666666666663</v>
      </c>
      <c r="K110" t="s">
        <v>90</v>
      </c>
      <c r="L110" t="s">
        <v>311</v>
      </c>
      <c r="M110" t="s">
        <v>135</v>
      </c>
      <c r="N110" s="4">
        <v>2949965</v>
      </c>
      <c r="O110" t="s">
        <v>56</v>
      </c>
      <c r="P110">
        <v>1121</v>
      </c>
      <c r="Q110">
        <v>1</v>
      </c>
      <c r="R110">
        <v>0</v>
      </c>
      <c r="S110">
        <v>1</v>
      </c>
      <c r="T110" t="s">
        <v>70</v>
      </c>
      <c r="U110">
        <v>20</v>
      </c>
      <c r="V110" t="s">
        <v>58</v>
      </c>
      <c r="Y110">
        <v>0</v>
      </c>
      <c r="AG110">
        <v>388</v>
      </c>
      <c r="AH110">
        <v>719</v>
      </c>
      <c r="AI110">
        <v>9</v>
      </c>
      <c r="AJ110">
        <v>5</v>
      </c>
      <c r="AK110">
        <v>0</v>
      </c>
      <c r="AN110">
        <v>0</v>
      </c>
      <c r="AO110" t="s">
        <v>136</v>
      </c>
      <c r="AQ110">
        <v>32.323262999999997</v>
      </c>
      <c r="AR110">
        <v>-90.885250999999997</v>
      </c>
      <c r="AS110">
        <v>63.8</v>
      </c>
      <c r="AT110">
        <v>9</v>
      </c>
      <c r="AU110">
        <v>12</v>
      </c>
      <c r="AV110">
        <v>540</v>
      </c>
      <c r="AW110" t="s">
        <v>312</v>
      </c>
      <c r="AX110">
        <v>28</v>
      </c>
      <c r="AY110">
        <v>28149</v>
      </c>
      <c r="AZ110">
        <v>32</v>
      </c>
    </row>
    <row r="111" spans="1:52" x14ac:dyDescent="0.3">
      <c r="A111">
        <v>50</v>
      </c>
      <c r="B111" s="3">
        <v>360963000000</v>
      </c>
      <c r="C111" t="s">
        <v>343</v>
      </c>
      <c r="D111" t="str">
        <f>IF(ISNUMBER(SEARCH("High",C111)), "High School","")</f>
        <v>High School</v>
      </c>
      <c r="E111">
        <v>3609630</v>
      </c>
      <c r="F111" t="s">
        <v>344</v>
      </c>
      <c r="G111" s="1">
        <v>38026</v>
      </c>
      <c r="H111" t="s">
        <v>310</v>
      </c>
      <c r="I111">
        <v>2004</v>
      </c>
      <c r="J111" s="2">
        <v>0.4375</v>
      </c>
      <c r="K111" t="s">
        <v>82</v>
      </c>
      <c r="L111" t="s">
        <v>345</v>
      </c>
      <c r="M111" t="s">
        <v>263</v>
      </c>
      <c r="N111" s="4">
        <v>19835913</v>
      </c>
      <c r="O111" t="s">
        <v>56</v>
      </c>
      <c r="P111">
        <v>1455</v>
      </c>
      <c r="Q111">
        <v>0</v>
      </c>
      <c r="R111">
        <v>1</v>
      </c>
      <c r="S111">
        <v>1</v>
      </c>
      <c r="T111" t="s">
        <v>57</v>
      </c>
      <c r="U111">
        <v>16</v>
      </c>
      <c r="V111" t="s">
        <v>58</v>
      </c>
      <c r="W111" t="s">
        <v>59</v>
      </c>
      <c r="X111" t="s">
        <v>60</v>
      </c>
      <c r="Y111">
        <v>0</v>
      </c>
      <c r="AG111">
        <v>1390</v>
      </c>
      <c r="AH111">
        <v>28</v>
      </c>
      <c r="AI111">
        <v>6</v>
      </c>
      <c r="AJ111">
        <v>31</v>
      </c>
      <c r="AK111">
        <v>0</v>
      </c>
      <c r="AN111">
        <v>0</v>
      </c>
      <c r="AO111" t="s">
        <v>346</v>
      </c>
      <c r="AQ111">
        <v>42.62068</v>
      </c>
      <c r="AR111">
        <v>-73.690848000000003</v>
      </c>
      <c r="AT111">
        <v>9</v>
      </c>
      <c r="AU111">
        <v>12</v>
      </c>
      <c r="AW111" t="s">
        <v>347</v>
      </c>
      <c r="AX111">
        <v>36</v>
      </c>
      <c r="AY111">
        <v>36083</v>
      </c>
      <c r="AZ111">
        <v>21</v>
      </c>
    </row>
    <row r="112" spans="1:52" x14ac:dyDescent="0.3">
      <c r="A112">
        <v>53</v>
      </c>
      <c r="B112" s="3">
        <v>173291000000</v>
      </c>
      <c r="C112" t="s">
        <v>354</v>
      </c>
      <c r="D112" t="str">
        <f>IF(ISNUMBER(SEARCH("High",C112)), "High School","")</f>
        <v>High School</v>
      </c>
      <c r="E112">
        <v>1732910</v>
      </c>
      <c r="F112" t="s">
        <v>355</v>
      </c>
      <c r="G112" s="1">
        <v>38229</v>
      </c>
      <c r="H112" t="s">
        <v>356</v>
      </c>
      <c r="I112">
        <v>2004</v>
      </c>
      <c r="J112" s="2">
        <v>0.60416666666666663</v>
      </c>
      <c r="K112" t="s">
        <v>82</v>
      </c>
      <c r="L112" t="s">
        <v>357</v>
      </c>
      <c r="M112" t="s">
        <v>129</v>
      </c>
      <c r="N112" s="4">
        <v>12671469</v>
      </c>
      <c r="O112" t="s">
        <v>56</v>
      </c>
      <c r="P112">
        <v>2068</v>
      </c>
      <c r="Q112">
        <v>1</v>
      </c>
      <c r="R112">
        <v>0</v>
      </c>
      <c r="S112">
        <v>1</v>
      </c>
      <c r="T112" t="s">
        <v>70</v>
      </c>
      <c r="V112" t="s">
        <v>58</v>
      </c>
      <c r="W112" t="s">
        <v>146</v>
      </c>
      <c r="X112" t="s">
        <v>199</v>
      </c>
      <c r="Y112">
        <v>0</v>
      </c>
      <c r="AG112">
        <v>44</v>
      </c>
      <c r="AH112">
        <v>1506</v>
      </c>
      <c r="AI112">
        <v>497</v>
      </c>
      <c r="AJ112">
        <v>9</v>
      </c>
      <c r="AK112">
        <v>10</v>
      </c>
      <c r="AN112">
        <v>1</v>
      </c>
      <c r="AO112" t="s">
        <v>136</v>
      </c>
      <c r="AQ112">
        <v>41.88062</v>
      </c>
      <c r="AR112">
        <v>-87.833820000000003</v>
      </c>
      <c r="AS112">
        <v>110</v>
      </c>
      <c r="AT112">
        <v>9</v>
      </c>
      <c r="AU112">
        <v>12</v>
      </c>
      <c r="AV112">
        <v>637</v>
      </c>
      <c r="AW112" t="s">
        <v>131</v>
      </c>
      <c r="AX112">
        <v>17</v>
      </c>
      <c r="AY112">
        <v>17031</v>
      </c>
      <c r="AZ112">
        <v>21</v>
      </c>
    </row>
    <row r="113" spans="1:52" x14ac:dyDescent="0.3">
      <c r="A113">
        <v>56</v>
      </c>
      <c r="B113" s="3">
        <v>220117000000</v>
      </c>
      <c r="C113" t="s">
        <v>360</v>
      </c>
      <c r="D113" t="str">
        <f>IF(ISNUMBER(SEARCH("High",C113)), "High School","")</f>
        <v>High School</v>
      </c>
      <c r="E113">
        <v>2201170</v>
      </c>
      <c r="F113" t="s">
        <v>188</v>
      </c>
      <c r="G113" s="1">
        <v>38303</v>
      </c>
      <c r="H113" t="s">
        <v>356</v>
      </c>
      <c r="I113">
        <v>2004</v>
      </c>
      <c r="J113" s="2">
        <v>0.5</v>
      </c>
      <c r="K113" t="s">
        <v>95</v>
      </c>
      <c r="L113" t="s">
        <v>186</v>
      </c>
      <c r="M113" t="s">
        <v>69</v>
      </c>
      <c r="N113" s="4">
        <v>4624047</v>
      </c>
      <c r="O113" t="s">
        <v>56</v>
      </c>
      <c r="P113">
        <v>383</v>
      </c>
      <c r="Q113">
        <v>0</v>
      </c>
      <c r="R113">
        <v>1</v>
      </c>
      <c r="S113">
        <v>1</v>
      </c>
      <c r="T113" t="s">
        <v>70</v>
      </c>
      <c r="U113">
        <v>28</v>
      </c>
      <c r="V113" t="s">
        <v>152</v>
      </c>
      <c r="X113" t="s">
        <v>361</v>
      </c>
      <c r="Y113">
        <v>0</v>
      </c>
      <c r="AG113">
        <v>2</v>
      </c>
      <c r="AH113">
        <v>381</v>
      </c>
      <c r="AI113">
        <v>0</v>
      </c>
      <c r="AJ113">
        <v>0</v>
      </c>
      <c r="AK113">
        <v>0</v>
      </c>
      <c r="AN113">
        <v>1</v>
      </c>
      <c r="AO113" t="s">
        <v>187</v>
      </c>
      <c r="AP113" t="s">
        <v>362</v>
      </c>
      <c r="AQ113">
        <v>29.949660000000002</v>
      </c>
      <c r="AR113">
        <v>-90.088930000000005</v>
      </c>
      <c r="AS113">
        <v>36.799999999999997</v>
      </c>
      <c r="AT113">
        <v>8</v>
      </c>
      <c r="AU113">
        <v>12</v>
      </c>
      <c r="AV113">
        <v>308</v>
      </c>
      <c r="AW113" t="s">
        <v>188</v>
      </c>
      <c r="AX113">
        <v>22</v>
      </c>
      <c r="AY113">
        <v>22071</v>
      </c>
      <c r="AZ113">
        <v>11</v>
      </c>
    </row>
    <row r="114" spans="1:52" x14ac:dyDescent="0.3">
      <c r="A114">
        <v>57</v>
      </c>
      <c r="B114" t="s">
        <v>363</v>
      </c>
      <c r="C114" t="s">
        <v>364</v>
      </c>
      <c r="D114" t="s">
        <v>1542</v>
      </c>
      <c r="G114" s="1">
        <v>38328</v>
      </c>
      <c r="H114" t="s">
        <v>356</v>
      </c>
      <c r="I114">
        <v>2004</v>
      </c>
      <c r="J114" s="2">
        <v>0.625</v>
      </c>
      <c r="K114" t="s">
        <v>53</v>
      </c>
      <c r="L114" t="s">
        <v>365</v>
      </c>
      <c r="M114" t="s">
        <v>135</v>
      </c>
      <c r="N114" s="4">
        <v>2949965</v>
      </c>
      <c r="O114" t="s">
        <v>216</v>
      </c>
      <c r="P114">
        <v>128</v>
      </c>
      <c r="Q114">
        <v>0</v>
      </c>
      <c r="R114">
        <v>1</v>
      </c>
      <c r="S114">
        <v>1</v>
      </c>
      <c r="T114" t="s">
        <v>114</v>
      </c>
      <c r="U114">
        <v>28</v>
      </c>
      <c r="V114" t="s">
        <v>152</v>
      </c>
      <c r="Y114">
        <v>0</v>
      </c>
      <c r="AG114">
        <v>0</v>
      </c>
      <c r="AH114">
        <v>128</v>
      </c>
      <c r="AI114">
        <v>0</v>
      </c>
      <c r="AJ114">
        <v>0</v>
      </c>
      <c r="AK114">
        <v>0</v>
      </c>
      <c r="AN114">
        <v>0</v>
      </c>
      <c r="AO114" t="s">
        <v>366</v>
      </c>
      <c r="AQ114">
        <v>32.288834999999999</v>
      </c>
      <c r="AR114">
        <v>-90.196049000000002</v>
      </c>
      <c r="AS114">
        <v>11</v>
      </c>
      <c r="AT114" t="s">
        <v>130</v>
      </c>
      <c r="AU114">
        <v>8</v>
      </c>
      <c r="AW114" t="s">
        <v>367</v>
      </c>
      <c r="AX114">
        <v>28</v>
      </c>
      <c r="AY114">
        <v>28049</v>
      </c>
      <c r="AZ114">
        <v>12</v>
      </c>
    </row>
    <row r="115" spans="1:52" x14ac:dyDescent="0.3">
      <c r="A115">
        <v>59</v>
      </c>
      <c r="B115" s="3">
        <v>170993000000</v>
      </c>
      <c r="C115" t="s">
        <v>372</v>
      </c>
      <c r="D115" t="str">
        <f>IF(ISNUMBER(SEARCH("High",C115)), "High School","")</f>
        <v>High School</v>
      </c>
      <c r="E115">
        <v>1709930</v>
      </c>
      <c r="F115" t="s">
        <v>373</v>
      </c>
      <c r="G115" s="1">
        <v>38391</v>
      </c>
      <c r="H115" t="s">
        <v>356</v>
      </c>
      <c r="I115">
        <v>2005</v>
      </c>
      <c r="J115" s="2">
        <v>0.60555555555555551</v>
      </c>
      <c r="K115" t="s">
        <v>53</v>
      </c>
      <c r="L115" t="s">
        <v>128</v>
      </c>
      <c r="M115" t="s">
        <v>129</v>
      </c>
      <c r="N115" s="4">
        <v>12671469</v>
      </c>
      <c r="O115" t="s">
        <v>56</v>
      </c>
      <c r="P115">
        <v>215</v>
      </c>
      <c r="Q115">
        <v>0</v>
      </c>
      <c r="R115">
        <v>1</v>
      </c>
      <c r="S115">
        <v>1</v>
      </c>
      <c r="T115" t="s">
        <v>70</v>
      </c>
      <c r="Y115">
        <v>0</v>
      </c>
      <c r="AG115">
        <v>2</v>
      </c>
      <c r="AH115">
        <v>167</v>
      </c>
      <c r="AI115">
        <v>46</v>
      </c>
      <c r="AJ115">
        <v>0</v>
      </c>
      <c r="AK115">
        <v>0</v>
      </c>
      <c r="AN115">
        <v>0</v>
      </c>
      <c r="AQ115">
        <v>41.733539999999998</v>
      </c>
      <c r="AR115">
        <v>-87.557742000000005</v>
      </c>
      <c r="AS115">
        <v>45.7</v>
      </c>
      <c r="AT115">
        <v>11</v>
      </c>
      <c r="AU115">
        <v>12</v>
      </c>
      <c r="AV115">
        <v>212</v>
      </c>
      <c r="AW115" t="s">
        <v>131</v>
      </c>
      <c r="AX115">
        <v>17</v>
      </c>
      <c r="AY115">
        <v>17031</v>
      </c>
      <c r="AZ115">
        <v>11</v>
      </c>
    </row>
    <row r="116" spans="1:52" x14ac:dyDescent="0.3">
      <c r="A116">
        <v>60</v>
      </c>
      <c r="B116" s="3">
        <v>470318000000</v>
      </c>
      <c r="C116" t="s">
        <v>374</v>
      </c>
      <c r="D116" t="str">
        <f>IF(ISNUMBER(SEARCH("High",C116)), "High School","")</f>
        <v>High School</v>
      </c>
      <c r="E116">
        <v>4703180</v>
      </c>
      <c r="F116" t="s">
        <v>375</v>
      </c>
      <c r="G116" s="1">
        <v>38420</v>
      </c>
      <c r="H116" t="s">
        <v>356</v>
      </c>
      <c r="I116">
        <v>2005</v>
      </c>
      <c r="J116" s="2">
        <v>0.58333333333333337</v>
      </c>
      <c r="K116" t="s">
        <v>90</v>
      </c>
      <c r="L116" t="s">
        <v>376</v>
      </c>
      <c r="M116" t="s">
        <v>377</v>
      </c>
      <c r="N116" s="4">
        <v>6975218</v>
      </c>
      <c r="O116" t="s">
        <v>56</v>
      </c>
      <c r="P116">
        <v>1119</v>
      </c>
      <c r="Q116">
        <v>0</v>
      </c>
      <c r="R116">
        <v>1</v>
      </c>
      <c r="S116">
        <v>1</v>
      </c>
      <c r="T116" t="s">
        <v>70</v>
      </c>
      <c r="U116">
        <v>16</v>
      </c>
      <c r="V116" t="s">
        <v>58</v>
      </c>
      <c r="X116" t="s">
        <v>71</v>
      </c>
      <c r="Y116">
        <v>0</v>
      </c>
      <c r="AG116">
        <v>219</v>
      </c>
      <c r="AH116">
        <v>868</v>
      </c>
      <c r="AI116">
        <v>21</v>
      </c>
      <c r="AJ116">
        <v>11</v>
      </c>
      <c r="AK116">
        <v>0</v>
      </c>
      <c r="AN116">
        <v>0</v>
      </c>
      <c r="AO116" t="s">
        <v>136</v>
      </c>
      <c r="AQ116">
        <v>36.229120000000002</v>
      </c>
      <c r="AR116">
        <v>-86.745679999999993</v>
      </c>
      <c r="AS116">
        <v>63</v>
      </c>
      <c r="AT116">
        <v>9</v>
      </c>
      <c r="AU116">
        <v>12</v>
      </c>
      <c r="AW116" t="s">
        <v>378</v>
      </c>
      <c r="AX116">
        <v>47</v>
      </c>
      <c r="AY116">
        <v>47037</v>
      </c>
      <c r="AZ116">
        <v>11</v>
      </c>
    </row>
    <row r="117" spans="1:52" x14ac:dyDescent="0.3">
      <c r="A117">
        <v>62</v>
      </c>
      <c r="B117" s="3">
        <v>481275000000</v>
      </c>
      <c r="C117" t="s">
        <v>384</v>
      </c>
      <c r="D117" t="str">
        <f>IF(ISNUMBER(SEARCH("High",C117)), "High School","")</f>
        <v>High School</v>
      </c>
      <c r="E117">
        <v>4812750</v>
      </c>
      <c r="F117" t="s">
        <v>385</v>
      </c>
      <c r="G117" s="1">
        <v>38449</v>
      </c>
      <c r="H117" t="s">
        <v>356</v>
      </c>
      <c r="I117">
        <v>2005</v>
      </c>
      <c r="J117" s="2">
        <v>0.3888888888888889</v>
      </c>
      <c r="K117" t="s">
        <v>67</v>
      </c>
      <c r="L117" t="s">
        <v>386</v>
      </c>
      <c r="M117" t="s">
        <v>205</v>
      </c>
      <c r="N117" s="4">
        <v>29527941</v>
      </c>
      <c r="O117" t="s">
        <v>56</v>
      </c>
      <c r="P117">
        <v>533</v>
      </c>
      <c r="Q117">
        <v>0</v>
      </c>
      <c r="R117">
        <v>1</v>
      </c>
      <c r="S117">
        <v>1</v>
      </c>
      <c r="T117" t="s">
        <v>70</v>
      </c>
      <c r="U117">
        <v>45</v>
      </c>
      <c r="V117" t="s">
        <v>58</v>
      </c>
      <c r="W117" t="s">
        <v>59</v>
      </c>
      <c r="X117" t="s">
        <v>387</v>
      </c>
      <c r="Y117">
        <v>0</v>
      </c>
      <c r="AG117">
        <v>484</v>
      </c>
      <c r="AH117">
        <v>16</v>
      </c>
      <c r="AI117">
        <v>29</v>
      </c>
      <c r="AJ117">
        <v>1</v>
      </c>
      <c r="AK117">
        <v>3</v>
      </c>
      <c r="AN117">
        <v>0</v>
      </c>
      <c r="AO117" t="s">
        <v>388</v>
      </c>
      <c r="AP117" t="s">
        <v>155</v>
      </c>
      <c r="AQ117">
        <v>32.549579999999999</v>
      </c>
      <c r="AR117">
        <v>-95.866169999999997</v>
      </c>
      <c r="AS117">
        <v>39.4</v>
      </c>
      <c r="AT117">
        <v>9</v>
      </c>
      <c r="AU117">
        <v>12</v>
      </c>
      <c r="AV117">
        <v>79</v>
      </c>
      <c r="AW117" t="s">
        <v>389</v>
      </c>
      <c r="AX117">
        <v>48</v>
      </c>
      <c r="AY117">
        <v>48467</v>
      </c>
      <c r="AZ117">
        <v>32</v>
      </c>
    </row>
    <row r="118" spans="1:52" x14ac:dyDescent="0.3">
      <c r="A118">
        <v>63</v>
      </c>
      <c r="B118" s="3">
        <v>422583000000</v>
      </c>
      <c r="C118" t="s">
        <v>390</v>
      </c>
      <c r="D118" t="str">
        <f>IF(ISNUMBER(SEARCH("High",C118)), "High School","")</f>
        <v>High School</v>
      </c>
      <c r="E118">
        <v>4225830</v>
      </c>
      <c r="F118" t="s">
        <v>391</v>
      </c>
      <c r="G118" s="1">
        <v>38489</v>
      </c>
      <c r="H118" t="s">
        <v>356</v>
      </c>
      <c r="I118">
        <v>2005</v>
      </c>
      <c r="J118" s="2">
        <v>0.625</v>
      </c>
      <c r="K118" t="s">
        <v>53</v>
      </c>
      <c r="L118" t="s">
        <v>392</v>
      </c>
      <c r="M118" t="s">
        <v>84</v>
      </c>
      <c r="N118" s="4">
        <v>12964056</v>
      </c>
      <c r="O118" t="s">
        <v>56</v>
      </c>
      <c r="P118">
        <v>445</v>
      </c>
      <c r="Q118">
        <v>1</v>
      </c>
      <c r="R118">
        <v>0</v>
      </c>
      <c r="S118">
        <v>1</v>
      </c>
      <c r="T118" t="s">
        <v>70</v>
      </c>
      <c r="U118">
        <v>47</v>
      </c>
      <c r="V118" t="s">
        <v>58</v>
      </c>
      <c r="X118" t="s">
        <v>393</v>
      </c>
      <c r="Y118">
        <v>1</v>
      </c>
      <c r="Z118" t="s">
        <v>61</v>
      </c>
      <c r="AG118">
        <v>403</v>
      </c>
      <c r="AH118">
        <v>23</v>
      </c>
      <c r="AI118">
        <v>10</v>
      </c>
      <c r="AJ118">
        <v>9</v>
      </c>
      <c r="AK118">
        <v>0</v>
      </c>
      <c r="AN118">
        <v>0</v>
      </c>
      <c r="AO118" t="s">
        <v>394</v>
      </c>
      <c r="AQ118">
        <v>40.219990000000003</v>
      </c>
      <c r="AR118">
        <v>-76.952560000000005</v>
      </c>
      <c r="AS118">
        <v>24.2</v>
      </c>
      <c r="AT118" t="s">
        <v>124</v>
      </c>
      <c r="AU118">
        <v>5</v>
      </c>
      <c r="AV118">
        <v>35</v>
      </c>
      <c r="AW118" t="s">
        <v>395</v>
      </c>
      <c r="AX118">
        <v>42</v>
      </c>
      <c r="AY118">
        <v>42041</v>
      </c>
      <c r="AZ118">
        <v>21</v>
      </c>
    </row>
    <row r="119" spans="1:52" x14ac:dyDescent="0.3">
      <c r="A119">
        <v>64</v>
      </c>
      <c r="B119" s="3">
        <v>470210000000</v>
      </c>
      <c r="C119" t="s">
        <v>396</v>
      </c>
      <c r="D119" t="str">
        <f>IF(ISNUMBER(SEARCH("Middle",C119)), "Middle School","")</f>
        <v>Middle School</v>
      </c>
      <c r="E119">
        <v>4702100</v>
      </c>
      <c r="F119" t="s">
        <v>397</v>
      </c>
      <c r="G119" s="1">
        <v>38589</v>
      </c>
      <c r="H119" t="s">
        <v>398</v>
      </c>
      <c r="I119">
        <v>2005</v>
      </c>
      <c r="J119" s="2">
        <v>0.39583333333333331</v>
      </c>
      <c r="K119" t="s">
        <v>67</v>
      </c>
      <c r="L119" t="s">
        <v>399</v>
      </c>
      <c r="M119" t="s">
        <v>377</v>
      </c>
      <c r="N119" s="4">
        <v>6975218</v>
      </c>
      <c r="O119" t="s">
        <v>56</v>
      </c>
      <c r="P119">
        <v>609</v>
      </c>
      <c r="Q119">
        <v>0</v>
      </c>
      <c r="R119">
        <v>1</v>
      </c>
      <c r="S119">
        <v>1</v>
      </c>
      <c r="T119" t="s">
        <v>114</v>
      </c>
      <c r="U119">
        <v>14</v>
      </c>
      <c r="V119" t="s">
        <v>58</v>
      </c>
      <c r="X119" t="s">
        <v>60</v>
      </c>
      <c r="Y119">
        <v>0</v>
      </c>
      <c r="AG119">
        <v>594</v>
      </c>
      <c r="AH119">
        <v>9</v>
      </c>
      <c r="AI119">
        <v>4</v>
      </c>
      <c r="AJ119">
        <v>2</v>
      </c>
      <c r="AK119">
        <v>0</v>
      </c>
      <c r="AN119">
        <v>0</v>
      </c>
      <c r="AO119" t="s">
        <v>400</v>
      </c>
      <c r="AP119" t="s">
        <v>401</v>
      </c>
      <c r="AQ119">
        <v>36.021299999999997</v>
      </c>
      <c r="AR119">
        <v>-83.4041</v>
      </c>
      <c r="AS119">
        <v>34.700000000000003</v>
      </c>
      <c r="AT119">
        <v>6</v>
      </c>
      <c r="AU119">
        <v>8</v>
      </c>
      <c r="AV119">
        <v>314</v>
      </c>
      <c r="AW119" t="s">
        <v>64</v>
      </c>
      <c r="AX119">
        <v>47</v>
      </c>
      <c r="AY119">
        <v>47089</v>
      </c>
      <c r="AZ119">
        <v>41</v>
      </c>
    </row>
    <row r="120" spans="1:52" x14ac:dyDescent="0.3">
      <c r="A120">
        <v>65</v>
      </c>
      <c r="B120" s="3">
        <v>120048000000</v>
      </c>
      <c r="C120" t="s">
        <v>402</v>
      </c>
      <c r="D120" t="str">
        <f>IF(ISNUMBER(SEARCH("High",C120)), "High School","")</f>
        <v>High School</v>
      </c>
      <c r="E120">
        <v>1200480</v>
      </c>
      <c r="F120" t="s">
        <v>403</v>
      </c>
      <c r="G120" s="1">
        <v>38597</v>
      </c>
      <c r="H120" t="s">
        <v>398</v>
      </c>
      <c r="I120">
        <v>2005</v>
      </c>
      <c r="J120" s="2">
        <v>0.53472222222222221</v>
      </c>
      <c r="K120" t="s">
        <v>95</v>
      </c>
      <c r="L120" t="s">
        <v>404</v>
      </c>
      <c r="M120" t="s">
        <v>113</v>
      </c>
      <c r="N120" s="4">
        <v>21781128</v>
      </c>
      <c r="O120" t="s">
        <v>56</v>
      </c>
      <c r="P120">
        <v>123</v>
      </c>
      <c r="Q120">
        <v>0</v>
      </c>
      <c r="R120">
        <v>1</v>
      </c>
      <c r="S120">
        <v>1</v>
      </c>
      <c r="T120" t="s">
        <v>70</v>
      </c>
      <c r="V120" t="s">
        <v>58</v>
      </c>
      <c r="Y120">
        <v>0</v>
      </c>
      <c r="AG120">
        <v>9</v>
      </c>
      <c r="AH120">
        <v>110</v>
      </c>
      <c r="AI120">
        <v>4</v>
      </c>
      <c r="AJ120">
        <v>0</v>
      </c>
      <c r="AK120">
        <v>0</v>
      </c>
      <c r="AN120">
        <v>0</v>
      </c>
      <c r="AO120" t="s">
        <v>136</v>
      </c>
      <c r="AQ120">
        <v>30.27037</v>
      </c>
      <c r="AR120">
        <v>-81.61618</v>
      </c>
      <c r="AS120">
        <v>7</v>
      </c>
      <c r="AT120">
        <v>9</v>
      </c>
      <c r="AU120">
        <v>12</v>
      </c>
      <c r="AV120">
        <v>62</v>
      </c>
      <c r="AW120" t="s">
        <v>405</v>
      </c>
      <c r="AX120">
        <v>12</v>
      </c>
      <c r="AY120">
        <v>12031</v>
      </c>
      <c r="AZ120">
        <v>11</v>
      </c>
    </row>
    <row r="121" spans="1:52" x14ac:dyDescent="0.3">
      <c r="A121">
        <v>66</v>
      </c>
      <c r="B121" s="3">
        <v>170993000000</v>
      </c>
      <c r="C121" t="s">
        <v>406</v>
      </c>
      <c r="D121" t="str">
        <f>IF(ISNUMBER(SEARCH("High",C121)), "High School","")</f>
        <v>High School</v>
      </c>
      <c r="E121">
        <v>1709930</v>
      </c>
      <c r="F121" t="s">
        <v>407</v>
      </c>
      <c r="G121" s="1">
        <v>38608</v>
      </c>
      <c r="H121" t="s">
        <v>398</v>
      </c>
      <c r="I121">
        <v>2005</v>
      </c>
      <c r="J121" s="2">
        <v>0.59722222222222221</v>
      </c>
      <c r="K121" t="s">
        <v>53</v>
      </c>
      <c r="L121" t="s">
        <v>128</v>
      </c>
      <c r="M121" t="s">
        <v>129</v>
      </c>
      <c r="N121" s="4">
        <v>12671469</v>
      </c>
      <c r="O121" t="s">
        <v>56</v>
      </c>
      <c r="P121">
        <v>1381</v>
      </c>
      <c r="Q121">
        <v>0</v>
      </c>
      <c r="R121">
        <v>1</v>
      </c>
      <c r="S121">
        <v>1</v>
      </c>
      <c r="T121" t="s">
        <v>70</v>
      </c>
      <c r="U121">
        <v>15</v>
      </c>
      <c r="V121" t="s">
        <v>58</v>
      </c>
      <c r="X121" t="s">
        <v>60</v>
      </c>
      <c r="Y121">
        <v>0</v>
      </c>
      <c r="AG121">
        <v>0</v>
      </c>
      <c r="AH121">
        <v>1381</v>
      </c>
      <c r="AI121">
        <v>0</v>
      </c>
      <c r="AJ121">
        <v>0</v>
      </c>
      <c r="AK121">
        <v>0</v>
      </c>
      <c r="AN121">
        <v>1</v>
      </c>
      <c r="AO121" t="s">
        <v>166</v>
      </c>
      <c r="AQ121">
        <v>41.718400000000003</v>
      </c>
      <c r="AR121">
        <v>-87.620850000000004</v>
      </c>
      <c r="AS121">
        <v>101.6</v>
      </c>
      <c r="AT121">
        <v>7</v>
      </c>
      <c r="AU121">
        <v>12</v>
      </c>
      <c r="AV121">
        <v>959</v>
      </c>
      <c r="AW121" t="s">
        <v>131</v>
      </c>
      <c r="AX121">
        <v>17</v>
      </c>
      <c r="AY121">
        <v>17031</v>
      </c>
      <c r="AZ121">
        <v>11</v>
      </c>
    </row>
    <row r="122" spans="1:52" x14ac:dyDescent="0.3">
      <c r="A122">
        <v>68</v>
      </c>
      <c r="B122" s="3">
        <v>263039000000</v>
      </c>
      <c r="C122" t="s">
        <v>413</v>
      </c>
      <c r="D122" t="str">
        <f>IF(ISNUMBER(SEARCH("High",C122)), "High School","")</f>
        <v>High School</v>
      </c>
      <c r="E122">
        <v>2630390</v>
      </c>
      <c r="F122" t="s">
        <v>414</v>
      </c>
      <c r="G122" s="1">
        <v>38645</v>
      </c>
      <c r="H122" t="s">
        <v>398</v>
      </c>
      <c r="I122">
        <v>2005</v>
      </c>
      <c r="J122" s="2">
        <v>0.5</v>
      </c>
      <c r="K122" t="s">
        <v>67</v>
      </c>
      <c r="L122" t="s">
        <v>415</v>
      </c>
      <c r="M122" t="s">
        <v>145</v>
      </c>
      <c r="N122" s="4">
        <v>10050811</v>
      </c>
      <c r="O122" t="s">
        <v>56</v>
      </c>
      <c r="P122">
        <v>1178</v>
      </c>
      <c r="Q122">
        <v>0</v>
      </c>
      <c r="R122">
        <v>1</v>
      </c>
      <c r="S122">
        <v>1</v>
      </c>
      <c r="T122" t="s">
        <v>70</v>
      </c>
      <c r="U122">
        <v>15</v>
      </c>
      <c r="V122" t="s">
        <v>58</v>
      </c>
      <c r="X122" t="s">
        <v>60</v>
      </c>
      <c r="Y122">
        <v>0</v>
      </c>
      <c r="AG122">
        <v>16</v>
      </c>
      <c r="AH122">
        <v>1128</v>
      </c>
      <c r="AI122">
        <v>34</v>
      </c>
      <c r="AJ122">
        <v>0</v>
      </c>
      <c r="AK122">
        <v>0</v>
      </c>
      <c r="AN122">
        <v>1</v>
      </c>
      <c r="AO122" t="s">
        <v>416</v>
      </c>
      <c r="AP122" t="s">
        <v>116</v>
      </c>
      <c r="AQ122">
        <v>43.407130000000002</v>
      </c>
      <c r="AR122">
        <v>-83.925409999999999</v>
      </c>
      <c r="AS122">
        <v>58</v>
      </c>
      <c r="AT122">
        <v>9</v>
      </c>
      <c r="AU122">
        <v>12</v>
      </c>
      <c r="AV122">
        <v>823</v>
      </c>
      <c r="AW122" t="s">
        <v>417</v>
      </c>
      <c r="AX122">
        <v>26</v>
      </c>
      <c r="AY122">
        <v>26145</v>
      </c>
      <c r="AZ122">
        <v>13</v>
      </c>
    </row>
    <row r="123" spans="1:52" x14ac:dyDescent="0.3">
      <c r="A123">
        <v>70</v>
      </c>
      <c r="B123" s="3">
        <v>261200000000</v>
      </c>
      <c r="C123" t="s">
        <v>422</v>
      </c>
      <c r="D123" t="str">
        <f>IF(ISNUMBER(SEARCH("High",C123)), "High School","")</f>
        <v>High School</v>
      </c>
      <c r="E123">
        <v>2612000</v>
      </c>
      <c r="F123" t="s">
        <v>423</v>
      </c>
      <c r="G123" s="1">
        <v>38692</v>
      </c>
      <c r="H123" t="s">
        <v>398</v>
      </c>
      <c r="I123">
        <v>2005</v>
      </c>
      <c r="J123" s="2">
        <v>0.5625</v>
      </c>
      <c r="K123" t="s">
        <v>53</v>
      </c>
      <c r="L123" t="s">
        <v>424</v>
      </c>
      <c r="M123" t="s">
        <v>145</v>
      </c>
      <c r="N123" s="4">
        <v>10050811</v>
      </c>
      <c r="O123" t="s">
        <v>56</v>
      </c>
      <c r="P123">
        <v>1205</v>
      </c>
      <c r="Q123">
        <v>0</v>
      </c>
      <c r="R123">
        <v>1</v>
      </c>
      <c r="S123">
        <v>1</v>
      </c>
      <c r="T123" t="s">
        <v>57</v>
      </c>
      <c r="U123">
        <v>18</v>
      </c>
      <c r="V123" t="s">
        <v>58</v>
      </c>
      <c r="Y123">
        <v>0</v>
      </c>
      <c r="AG123">
        <v>5</v>
      </c>
      <c r="AH123">
        <v>1194</v>
      </c>
      <c r="AI123">
        <v>0</v>
      </c>
      <c r="AJ123">
        <v>1</v>
      </c>
      <c r="AK123">
        <v>5</v>
      </c>
      <c r="AN123">
        <v>0</v>
      </c>
      <c r="AQ123">
        <v>42.384689999999999</v>
      </c>
      <c r="AR123">
        <v>-83.112690000000001</v>
      </c>
      <c r="AS123">
        <v>55.2</v>
      </c>
      <c r="AT123">
        <v>8</v>
      </c>
      <c r="AU123">
        <v>12</v>
      </c>
      <c r="AV123">
        <v>897</v>
      </c>
      <c r="AW123" t="s">
        <v>425</v>
      </c>
      <c r="AX123">
        <v>26</v>
      </c>
      <c r="AY123">
        <v>26163</v>
      </c>
      <c r="AZ123">
        <v>11</v>
      </c>
    </row>
    <row r="124" spans="1:52" x14ac:dyDescent="0.3">
      <c r="A124">
        <v>71</v>
      </c>
      <c r="B124" s="3">
        <v>550960000000</v>
      </c>
      <c r="C124" t="s">
        <v>426</v>
      </c>
      <c r="D124" t="s">
        <v>1542</v>
      </c>
      <c r="E124">
        <v>5509600</v>
      </c>
      <c r="F124" t="s">
        <v>427</v>
      </c>
      <c r="G124" s="1">
        <v>38728</v>
      </c>
      <c r="H124" t="s">
        <v>398</v>
      </c>
      <c r="I124">
        <v>2006</v>
      </c>
      <c r="J124" s="2">
        <v>0.52083333333333337</v>
      </c>
      <c r="K124" t="s">
        <v>90</v>
      </c>
      <c r="L124" t="s">
        <v>428</v>
      </c>
      <c r="M124" t="s">
        <v>429</v>
      </c>
      <c r="N124" s="4">
        <v>5895908</v>
      </c>
      <c r="O124" t="s">
        <v>56</v>
      </c>
      <c r="P124">
        <v>366</v>
      </c>
      <c r="Q124">
        <v>0</v>
      </c>
      <c r="R124">
        <v>1</v>
      </c>
      <c r="S124">
        <v>1</v>
      </c>
      <c r="T124" t="s">
        <v>57</v>
      </c>
      <c r="U124">
        <v>18</v>
      </c>
      <c r="V124" t="s">
        <v>58</v>
      </c>
      <c r="Y124">
        <v>0</v>
      </c>
      <c r="AG124">
        <v>14</v>
      </c>
      <c r="AH124">
        <v>311</v>
      </c>
      <c r="AI124">
        <v>4</v>
      </c>
      <c r="AJ124">
        <v>35</v>
      </c>
      <c r="AK124">
        <v>2</v>
      </c>
      <c r="AN124">
        <v>0</v>
      </c>
      <c r="AQ124">
        <v>43.050629999999998</v>
      </c>
      <c r="AR124">
        <v>-87.957740000000001</v>
      </c>
      <c r="AS124">
        <v>24</v>
      </c>
      <c r="AT124" t="s">
        <v>130</v>
      </c>
      <c r="AU124">
        <v>7</v>
      </c>
      <c r="AV124">
        <v>321</v>
      </c>
      <c r="AW124" t="s">
        <v>430</v>
      </c>
      <c r="AX124">
        <v>55</v>
      </c>
      <c r="AY124">
        <v>55079</v>
      </c>
      <c r="AZ124">
        <v>11</v>
      </c>
    </row>
    <row r="125" spans="1:52" x14ac:dyDescent="0.3">
      <c r="A125">
        <v>72</v>
      </c>
      <c r="B125" s="3">
        <v>120171000000</v>
      </c>
      <c r="C125" t="s">
        <v>431</v>
      </c>
      <c r="D125" t="str">
        <f>IF(ISNUMBER(SEARCH("Middle",C125)), "Middle School","")</f>
        <v>Middle School</v>
      </c>
      <c r="E125">
        <v>1201710</v>
      </c>
      <c r="F125" t="s">
        <v>432</v>
      </c>
      <c r="G125" s="1">
        <v>38730</v>
      </c>
      <c r="H125" t="s">
        <v>398</v>
      </c>
      <c r="I125">
        <v>2006</v>
      </c>
      <c r="J125" s="2">
        <v>0.39583333333333331</v>
      </c>
      <c r="K125" t="s">
        <v>95</v>
      </c>
      <c r="L125" t="s">
        <v>433</v>
      </c>
      <c r="M125" t="s">
        <v>113</v>
      </c>
      <c r="N125" s="4">
        <v>21781128</v>
      </c>
      <c r="O125" t="s">
        <v>56</v>
      </c>
      <c r="P125">
        <v>1121</v>
      </c>
      <c r="Q125">
        <v>1</v>
      </c>
      <c r="R125">
        <v>0</v>
      </c>
      <c r="S125">
        <v>1</v>
      </c>
      <c r="T125" t="s">
        <v>70</v>
      </c>
      <c r="V125" t="s">
        <v>58</v>
      </c>
      <c r="W125" t="s">
        <v>59</v>
      </c>
      <c r="X125" t="s">
        <v>434</v>
      </c>
      <c r="Y125">
        <v>0</v>
      </c>
      <c r="AG125">
        <v>635</v>
      </c>
      <c r="AH125">
        <v>158</v>
      </c>
      <c r="AI125">
        <v>309</v>
      </c>
      <c r="AJ125">
        <v>18</v>
      </c>
      <c r="AK125">
        <v>1</v>
      </c>
      <c r="AN125">
        <v>1</v>
      </c>
      <c r="AO125" t="s">
        <v>435</v>
      </c>
      <c r="AP125" t="s">
        <v>436</v>
      </c>
      <c r="AQ125">
        <v>28.681719999999999</v>
      </c>
      <c r="AR125">
        <v>-81.346689999999995</v>
      </c>
      <c r="AS125">
        <v>76</v>
      </c>
      <c r="AT125">
        <v>6</v>
      </c>
      <c r="AU125">
        <v>8</v>
      </c>
      <c r="AV125">
        <v>569</v>
      </c>
      <c r="AW125" t="s">
        <v>437</v>
      </c>
      <c r="AX125">
        <v>12</v>
      </c>
      <c r="AY125">
        <v>12117</v>
      </c>
      <c r="AZ125">
        <v>21</v>
      </c>
    </row>
    <row r="126" spans="1:52" x14ac:dyDescent="0.3">
      <c r="A126">
        <v>74</v>
      </c>
      <c r="B126">
        <v>64059009648</v>
      </c>
      <c r="C126" t="s">
        <v>443</v>
      </c>
      <c r="D126" t="str">
        <f>IF(ISNUMBER(SEARCH("High",C126)), "High School","")</f>
        <v>High School</v>
      </c>
      <c r="E126">
        <v>640590</v>
      </c>
      <c r="F126" t="s">
        <v>444</v>
      </c>
      <c r="G126" s="1">
        <v>38740</v>
      </c>
      <c r="H126" t="s">
        <v>398</v>
      </c>
      <c r="I126">
        <v>2006</v>
      </c>
      <c r="J126" s="2">
        <v>0.40625</v>
      </c>
      <c r="K126" t="s">
        <v>82</v>
      </c>
      <c r="L126" t="s">
        <v>445</v>
      </c>
      <c r="M126" t="s">
        <v>121</v>
      </c>
      <c r="N126" s="4">
        <v>39237836</v>
      </c>
      <c r="O126" t="s">
        <v>56</v>
      </c>
      <c r="P126">
        <v>2138</v>
      </c>
      <c r="Q126">
        <v>0</v>
      </c>
      <c r="R126">
        <v>1</v>
      </c>
      <c r="S126">
        <v>1</v>
      </c>
      <c r="T126" t="s">
        <v>114</v>
      </c>
      <c r="U126">
        <v>14</v>
      </c>
      <c r="V126" t="s">
        <v>58</v>
      </c>
      <c r="X126" t="s">
        <v>60</v>
      </c>
      <c r="Y126">
        <v>0</v>
      </c>
      <c r="AG126">
        <v>1271</v>
      </c>
      <c r="AH126">
        <v>233</v>
      </c>
      <c r="AI126">
        <v>394</v>
      </c>
      <c r="AJ126">
        <v>161</v>
      </c>
      <c r="AK126">
        <v>27</v>
      </c>
      <c r="AN126">
        <v>0</v>
      </c>
      <c r="AO126" t="s">
        <v>207</v>
      </c>
      <c r="AQ126">
        <v>38.346350000000001</v>
      </c>
      <c r="AR126">
        <v>-121.97421</v>
      </c>
      <c r="AS126">
        <v>85.8</v>
      </c>
      <c r="AT126">
        <v>9</v>
      </c>
      <c r="AU126">
        <v>12</v>
      </c>
      <c r="AV126">
        <v>398</v>
      </c>
      <c r="AW126" t="s">
        <v>446</v>
      </c>
      <c r="AX126">
        <v>6</v>
      </c>
      <c r="AY126">
        <v>6095</v>
      </c>
      <c r="AZ126">
        <v>23</v>
      </c>
    </row>
    <row r="127" spans="1:52" x14ac:dyDescent="0.3">
      <c r="A127">
        <v>76</v>
      </c>
      <c r="B127" s="3">
        <v>421917000000</v>
      </c>
      <c r="C127" t="s">
        <v>451</v>
      </c>
      <c r="D127" t="str">
        <f>IF(ISNUMBER(SEARCH("High",C127)), "High School","")</f>
        <v>High School</v>
      </c>
      <c r="E127">
        <v>4219170</v>
      </c>
      <c r="F127" t="s">
        <v>452</v>
      </c>
      <c r="G127" s="1">
        <v>38769</v>
      </c>
      <c r="H127" t="s">
        <v>398</v>
      </c>
      <c r="I127">
        <v>2006</v>
      </c>
      <c r="J127" s="2">
        <v>0.32291666666666669</v>
      </c>
      <c r="K127" t="s">
        <v>53</v>
      </c>
      <c r="L127" t="s">
        <v>453</v>
      </c>
      <c r="M127" t="s">
        <v>84</v>
      </c>
      <c r="N127" s="4">
        <v>12964056</v>
      </c>
      <c r="O127" t="s">
        <v>56</v>
      </c>
      <c r="P127">
        <v>562</v>
      </c>
      <c r="Q127">
        <v>0</v>
      </c>
      <c r="R127">
        <v>1</v>
      </c>
      <c r="S127">
        <v>1</v>
      </c>
      <c r="T127" t="s">
        <v>70</v>
      </c>
      <c r="U127">
        <v>23</v>
      </c>
      <c r="V127" t="s">
        <v>58</v>
      </c>
      <c r="Y127">
        <v>0</v>
      </c>
      <c r="AG127">
        <v>1</v>
      </c>
      <c r="AH127">
        <v>561</v>
      </c>
      <c r="AI127">
        <v>0</v>
      </c>
      <c r="AJ127">
        <v>0</v>
      </c>
      <c r="AK127">
        <v>0</v>
      </c>
      <c r="AN127">
        <v>1</v>
      </c>
      <c r="AO127" t="s">
        <v>454</v>
      </c>
      <c r="AQ127">
        <v>40.460700000000003</v>
      </c>
      <c r="AR127">
        <v>-79.900589999999994</v>
      </c>
      <c r="AS127">
        <v>41.2</v>
      </c>
      <c r="AT127">
        <v>9</v>
      </c>
      <c r="AU127">
        <v>12</v>
      </c>
      <c r="AV127">
        <v>374</v>
      </c>
      <c r="AW127" t="s">
        <v>455</v>
      </c>
      <c r="AX127">
        <v>42</v>
      </c>
      <c r="AY127">
        <v>42003</v>
      </c>
      <c r="AZ127">
        <v>11</v>
      </c>
    </row>
    <row r="128" spans="1:52" x14ac:dyDescent="0.3">
      <c r="A128">
        <v>77</v>
      </c>
      <c r="B128" s="3">
        <v>411071000000</v>
      </c>
      <c r="C128" t="s">
        <v>456</v>
      </c>
      <c r="D128" t="str">
        <f>IF(ISNUMBER(SEARCH("High",C128)), "High School","")</f>
        <v>High School</v>
      </c>
      <c r="E128">
        <v>4110710</v>
      </c>
      <c r="F128" t="s">
        <v>457</v>
      </c>
      <c r="G128" s="1">
        <v>38771</v>
      </c>
      <c r="H128" t="s">
        <v>398</v>
      </c>
      <c r="I128">
        <v>2006</v>
      </c>
      <c r="J128" s="2">
        <v>0.32291666666666669</v>
      </c>
      <c r="K128" t="s">
        <v>67</v>
      </c>
      <c r="L128" t="s">
        <v>458</v>
      </c>
      <c r="M128" t="s">
        <v>459</v>
      </c>
      <c r="N128" s="4">
        <v>4246155</v>
      </c>
      <c r="O128" t="s">
        <v>56</v>
      </c>
      <c r="P128">
        <v>2052</v>
      </c>
      <c r="Q128">
        <v>0</v>
      </c>
      <c r="R128">
        <v>1</v>
      </c>
      <c r="S128">
        <v>1</v>
      </c>
      <c r="T128" t="s">
        <v>70</v>
      </c>
      <c r="U128">
        <v>14</v>
      </c>
      <c r="V128" t="s">
        <v>58</v>
      </c>
      <c r="W128" t="s">
        <v>59</v>
      </c>
      <c r="X128" t="s">
        <v>60</v>
      </c>
      <c r="Y128">
        <v>0</v>
      </c>
      <c r="AG128">
        <v>1844</v>
      </c>
      <c r="AH128">
        <v>12</v>
      </c>
      <c r="AI128">
        <v>111</v>
      </c>
      <c r="AJ128">
        <v>45</v>
      </c>
      <c r="AK128">
        <v>40</v>
      </c>
      <c r="AN128">
        <v>1</v>
      </c>
      <c r="AO128" t="s">
        <v>460</v>
      </c>
      <c r="AQ128">
        <v>43.207999999999998</v>
      </c>
      <c r="AR128">
        <v>-123.34712</v>
      </c>
      <c r="AS128">
        <v>92</v>
      </c>
      <c r="AT128">
        <v>8</v>
      </c>
      <c r="AU128">
        <v>12</v>
      </c>
      <c r="AV128">
        <v>689</v>
      </c>
      <c r="AW128" t="s">
        <v>461</v>
      </c>
      <c r="AX128">
        <v>41</v>
      </c>
      <c r="AY128">
        <v>41019</v>
      </c>
      <c r="AZ128">
        <v>33</v>
      </c>
    </row>
    <row r="129" spans="1:52" x14ac:dyDescent="0.3">
      <c r="A129">
        <v>79</v>
      </c>
      <c r="B129">
        <v>62271003429</v>
      </c>
      <c r="C129" t="s">
        <v>468</v>
      </c>
      <c r="D129" t="str">
        <f>IF(ISNUMBER(SEARCH("High",C129)), "High School","")</f>
        <v>High School</v>
      </c>
      <c r="E129">
        <v>622710</v>
      </c>
      <c r="F129" t="s">
        <v>240</v>
      </c>
      <c r="G129" s="1">
        <v>38873</v>
      </c>
      <c r="H129" t="s">
        <v>398</v>
      </c>
      <c r="I129">
        <v>2006</v>
      </c>
      <c r="J129" s="2">
        <v>0.63194444444444442</v>
      </c>
      <c r="K129" t="s">
        <v>82</v>
      </c>
      <c r="L129" t="s">
        <v>241</v>
      </c>
      <c r="M129" t="s">
        <v>121</v>
      </c>
      <c r="N129" s="4">
        <v>39237836</v>
      </c>
      <c r="O129" t="s">
        <v>56</v>
      </c>
      <c r="P129">
        <v>3210</v>
      </c>
      <c r="Q129">
        <v>1</v>
      </c>
      <c r="R129">
        <v>0</v>
      </c>
      <c r="S129">
        <v>1</v>
      </c>
      <c r="T129" t="s">
        <v>70</v>
      </c>
      <c r="U129">
        <v>21</v>
      </c>
      <c r="V129" t="s">
        <v>58</v>
      </c>
      <c r="W129" t="s">
        <v>146</v>
      </c>
      <c r="Y129">
        <v>0</v>
      </c>
      <c r="AG129">
        <v>413</v>
      </c>
      <c r="AH129">
        <v>336</v>
      </c>
      <c r="AI129">
        <v>2173</v>
      </c>
      <c r="AJ129">
        <v>269</v>
      </c>
      <c r="AK129">
        <v>19</v>
      </c>
      <c r="AN129">
        <v>0</v>
      </c>
      <c r="AO129" t="s">
        <v>136</v>
      </c>
      <c r="AQ129">
        <v>33.998809999999999</v>
      </c>
      <c r="AR129">
        <v>-118.44282</v>
      </c>
      <c r="AS129">
        <v>129.19999999999999</v>
      </c>
      <c r="AT129">
        <v>9</v>
      </c>
      <c r="AU129">
        <v>12</v>
      </c>
      <c r="AV129">
        <v>2063</v>
      </c>
      <c r="AW129" t="s">
        <v>243</v>
      </c>
      <c r="AX129">
        <v>6</v>
      </c>
      <c r="AY129">
        <v>6037</v>
      </c>
      <c r="AZ129">
        <v>11</v>
      </c>
    </row>
    <row r="130" spans="1:52" x14ac:dyDescent="0.3">
      <c r="A130">
        <v>81</v>
      </c>
      <c r="B130" s="3">
        <v>481970000000</v>
      </c>
      <c r="C130" t="s">
        <v>475</v>
      </c>
      <c r="D130" t="str">
        <f>IF(ISNUMBER(SEARCH("High",C130)), "High School","")</f>
        <v>High School</v>
      </c>
      <c r="E130">
        <v>4819700</v>
      </c>
      <c r="F130" t="s">
        <v>476</v>
      </c>
      <c r="G130" s="1">
        <v>38968</v>
      </c>
      <c r="H130" t="s">
        <v>471</v>
      </c>
      <c r="I130">
        <v>2006</v>
      </c>
      <c r="J130" s="2">
        <v>0.55555555555555558</v>
      </c>
      <c r="K130" t="s">
        <v>95</v>
      </c>
      <c r="L130" t="s">
        <v>477</v>
      </c>
      <c r="M130" t="s">
        <v>205</v>
      </c>
      <c r="N130" s="4">
        <v>29527941</v>
      </c>
      <c r="O130" t="s">
        <v>56</v>
      </c>
      <c r="P130">
        <v>1417</v>
      </c>
      <c r="Q130">
        <v>0</v>
      </c>
      <c r="R130">
        <v>1</v>
      </c>
      <c r="S130">
        <v>1</v>
      </c>
      <c r="T130" t="s">
        <v>70</v>
      </c>
      <c r="V130" t="s">
        <v>58</v>
      </c>
      <c r="X130" t="s">
        <v>478</v>
      </c>
      <c r="Y130">
        <v>0</v>
      </c>
      <c r="AG130">
        <v>103</v>
      </c>
      <c r="AH130">
        <v>242</v>
      </c>
      <c r="AI130">
        <v>1053</v>
      </c>
      <c r="AJ130">
        <v>19</v>
      </c>
      <c r="AK130">
        <v>0</v>
      </c>
      <c r="AN130">
        <v>1</v>
      </c>
      <c r="AO130" t="s">
        <v>136</v>
      </c>
      <c r="AP130" t="s">
        <v>479</v>
      </c>
      <c r="AQ130">
        <v>32.657260000000001</v>
      </c>
      <c r="AR130">
        <v>-97.36</v>
      </c>
      <c r="AS130">
        <v>86.7</v>
      </c>
      <c r="AT130">
        <v>9</v>
      </c>
      <c r="AU130">
        <v>12</v>
      </c>
      <c r="AV130">
        <v>921</v>
      </c>
      <c r="AW130" t="s">
        <v>480</v>
      </c>
      <c r="AX130">
        <v>48</v>
      </c>
      <c r="AY130">
        <v>48439</v>
      </c>
      <c r="AZ130">
        <v>11</v>
      </c>
    </row>
    <row r="131" spans="1:52" x14ac:dyDescent="0.3">
      <c r="A131">
        <v>82</v>
      </c>
      <c r="B131">
        <v>80237000087</v>
      </c>
      <c r="C131" t="s">
        <v>481</v>
      </c>
      <c r="D131" t="str">
        <f>IF(ISNUMBER(SEARCH("High",C131)), "High School","")</f>
        <v>High School</v>
      </c>
      <c r="E131">
        <v>802370</v>
      </c>
      <c r="F131" t="s">
        <v>482</v>
      </c>
      <c r="G131" s="1">
        <v>38987</v>
      </c>
      <c r="H131" t="s">
        <v>471</v>
      </c>
      <c r="I131">
        <v>2006</v>
      </c>
      <c r="J131" s="2">
        <v>0.4861111111111111</v>
      </c>
      <c r="K131" t="s">
        <v>90</v>
      </c>
      <c r="L131" t="s">
        <v>483</v>
      </c>
      <c r="M131" t="s">
        <v>55</v>
      </c>
      <c r="N131" s="4">
        <v>5812069</v>
      </c>
      <c r="O131" t="s">
        <v>56</v>
      </c>
      <c r="P131">
        <v>476</v>
      </c>
      <c r="Q131">
        <v>1</v>
      </c>
      <c r="R131">
        <v>0</v>
      </c>
      <c r="S131">
        <v>1</v>
      </c>
      <c r="T131" t="s">
        <v>70</v>
      </c>
      <c r="U131">
        <v>53</v>
      </c>
      <c r="V131" t="s">
        <v>58</v>
      </c>
      <c r="W131" t="s">
        <v>59</v>
      </c>
      <c r="Y131">
        <v>1</v>
      </c>
      <c r="Z131" t="s">
        <v>61</v>
      </c>
      <c r="AG131">
        <v>424</v>
      </c>
      <c r="AH131">
        <v>4</v>
      </c>
      <c r="AI131">
        <v>28</v>
      </c>
      <c r="AJ131">
        <v>7</v>
      </c>
      <c r="AK131">
        <v>13</v>
      </c>
      <c r="AN131">
        <v>0</v>
      </c>
      <c r="AO131" t="s">
        <v>484</v>
      </c>
      <c r="AQ131">
        <v>39.455660000000002</v>
      </c>
      <c r="AR131">
        <v>-105.64543</v>
      </c>
      <c r="AS131">
        <v>26.2</v>
      </c>
      <c r="AT131">
        <v>9</v>
      </c>
      <c r="AU131">
        <v>12</v>
      </c>
      <c r="AV131">
        <v>82</v>
      </c>
      <c r="AW131" t="s">
        <v>485</v>
      </c>
      <c r="AX131">
        <v>8</v>
      </c>
      <c r="AY131">
        <v>8093</v>
      </c>
      <c r="AZ131">
        <v>43</v>
      </c>
    </row>
    <row r="132" spans="1:52" x14ac:dyDescent="0.3">
      <c r="A132">
        <v>83</v>
      </c>
      <c r="B132" s="3">
        <v>551647000000</v>
      </c>
      <c r="C132" t="s">
        <v>486</v>
      </c>
      <c r="D132" t="str">
        <f>IF(ISNUMBER(SEARCH("High",C132)), "High School","")</f>
        <v>High School</v>
      </c>
      <c r="E132">
        <v>5516470</v>
      </c>
      <c r="F132" t="s">
        <v>487</v>
      </c>
      <c r="G132" s="1">
        <v>38989</v>
      </c>
      <c r="H132" t="s">
        <v>471</v>
      </c>
      <c r="I132">
        <v>2006</v>
      </c>
      <c r="J132" s="2">
        <v>0.34027777777777773</v>
      </c>
      <c r="K132" t="s">
        <v>95</v>
      </c>
      <c r="L132" t="s">
        <v>488</v>
      </c>
      <c r="M132" t="s">
        <v>429</v>
      </c>
      <c r="N132" s="4">
        <v>5895908</v>
      </c>
      <c r="O132" t="s">
        <v>56</v>
      </c>
      <c r="P132">
        <v>119</v>
      </c>
      <c r="Q132">
        <v>1</v>
      </c>
      <c r="R132">
        <v>0</v>
      </c>
      <c r="S132">
        <v>1</v>
      </c>
      <c r="T132" t="s">
        <v>70</v>
      </c>
      <c r="U132">
        <v>15</v>
      </c>
      <c r="V132" t="s">
        <v>58</v>
      </c>
      <c r="W132" t="s">
        <v>59</v>
      </c>
      <c r="X132" t="s">
        <v>60</v>
      </c>
      <c r="Y132">
        <v>0</v>
      </c>
      <c r="AG132">
        <v>117</v>
      </c>
      <c r="AH132">
        <v>2</v>
      </c>
      <c r="AI132">
        <v>0</v>
      </c>
      <c r="AJ132">
        <v>0</v>
      </c>
      <c r="AK132">
        <v>0</v>
      </c>
      <c r="AN132">
        <v>0</v>
      </c>
      <c r="AO132" t="s">
        <v>489</v>
      </c>
      <c r="AP132" t="s">
        <v>108</v>
      </c>
      <c r="AQ132">
        <v>43.482109999999999</v>
      </c>
      <c r="AR132">
        <v>-90.190160000000006</v>
      </c>
      <c r="AS132">
        <v>10.5</v>
      </c>
      <c r="AT132">
        <v>9</v>
      </c>
      <c r="AU132">
        <v>12</v>
      </c>
      <c r="AV132">
        <v>35</v>
      </c>
      <c r="AW132" t="s">
        <v>490</v>
      </c>
      <c r="AX132">
        <v>55</v>
      </c>
      <c r="AY132">
        <v>55111</v>
      </c>
      <c r="AZ132">
        <v>43</v>
      </c>
    </row>
    <row r="133" spans="1:52" x14ac:dyDescent="0.3">
      <c r="A133">
        <v>86</v>
      </c>
      <c r="B133" s="3">
        <v>530870000000</v>
      </c>
      <c r="C133" t="s">
        <v>503</v>
      </c>
      <c r="D133" t="str">
        <f>IF(ISNUMBER(SEARCH("High",C133)), "High School","")</f>
        <v>High School</v>
      </c>
      <c r="E133">
        <v>5308700</v>
      </c>
      <c r="F133" t="s">
        <v>504</v>
      </c>
      <c r="G133" s="1">
        <v>39085</v>
      </c>
      <c r="H133" t="s">
        <v>471</v>
      </c>
      <c r="I133">
        <v>2007</v>
      </c>
      <c r="J133" s="2">
        <v>0.3125</v>
      </c>
      <c r="K133" t="s">
        <v>90</v>
      </c>
      <c r="L133" t="s">
        <v>505</v>
      </c>
      <c r="M133" t="s">
        <v>171</v>
      </c>
      <c r="N133" s="4">
        <v>7738692</v>
      </c>
      <c r="O133" t="s">
        <v>56</v>
      </c>
      <c r="P133">
        <v>1749</v>
      </c>
      <c r="Q133">
        <v>1</v>
      </c>
      <c r="R133">
        <v>0</v>
      </c>
      <c r="S133">
        <v>1</v>
      </c>
      <c r="T133" t="s">
        <v>70</v>
      </c>
      <c r="U133">
        <v>18</v>
      </c>
      <c r="V133" t="s">
        <v>58</v>
      </c>
      <c r="X133" t="s">
        <v>60</v>
      </c>
      <c r="Y133">
        <v>0</v>
      </c>
      <c r="AG133">
        <v>692</v>
      </c>
      <c r="AH133">
        <v>535</v>
      </c>
      <c r="AI133">
        <v>139</v>
      </c>
      <c r="AJ133">
        <v>354</v>
      </c>
      <c r="AK133">
        <v>29</v>
      </c>
      <c r="AN133">
        <v>0</v>
      </c>
      <c r="AO133" t="s">
        <v>136</v>
      </c>
      <c r="AQ133">
        <v>47.241140000000001</v>
      </c>
      <c r="AR133">
        <v>-122.49364</v>
      </c>
      <c r="AS133">
        <v>85.4</v>
      </c>
      <c r="AT133">
        <v>9</v>
      </c>
      <c r="AU133">
        <v>12</v>
      </c>
      <c r="AV133">
        <v>884</v>
      </c>
      <c r="AW133" t="s">
        <v>506</v>
      </c>
      <c r="AX133">
        <v>53</v>
      </c>
      <c r="AY133">
        <v>53053</v>
      </c>
      <c r="AZ133">
        <v>12</v>
      </c>
    </row>
    <row r="134" spans="1:52" x14ac:dyDescent="0.3">
      <c r="A134">
        <v>88</v>
      </c>
      <c r="B134" s="3">
        <v>421899000000</v>
      </c>
      <c r="C134" t="s">
        <v>510</v>
      </c>
      <c r="D134" t="str">
        <f>IF(ISNUMBER(SEARCH("High",C134)), "High School","")</f>
        <v>High School</v>
      </c>
      <c r="E134">
        <v>4218990</v>
      </c>
      <c r="F134" t="s">
        <v>80</v>
      </c>
      <c r="G134" s="1">
        <v>39100</v>
      </c>
      <c r="H134" t="s">
        <v>471</v>
      </c>
      <c r="I134">
        <v>2007</v>
      </c>
      <c r="J134" s="2">
        <v>0.35069444444444442</v>
      </c>
      <c r="K134" t="s">
        <v>67</v>
      </c>
      <c r="L134" t="s">
        <v>83</v>
      </c>
      <c r="M134" t="s">
        <v>84</v>
      </c>
      <c r="N134" s="4">
        <v>12964056</v>
      </c>
      <c r="O134" t="s">
        <v>56</v>
      </c>
      <c r="P134">
        <v>655</v>
      </c>
      <c r="Q134">
        <v>0</v>
      </c>
      <c r="R134">
        <v>1</v>
      </c>
      <c r="S134">
        <v>1</v>
      </c>
      <c r="T134" t="s">
        <v>70</v>
      </c>
      <c r="V134" t="s">
        <v>58</v>
      </c>
      <c r="Y134">
        <v>0</v>
      </c>
      <c r="AG134">
        <v>1</v>
      </c>
      <c r="AH134">
        <v>647</v>
      </c>
      <c r="AI134">
        <v>5</v>
      </c>
      <c r="AJ134">
        <v>1</v>
      </c>
      <c r="AK134">
        <v>1</v>
      </c>
      <c r="AN134">
        <v>1</v>
      </c>
      <c r="AO134" t="s">
        <v>511</v>
      </c>
      <c r="AQ134">
        <v>39.957929999999998</v>
      </c>
      <c r="AR134">
        <v>-75.237399999999994</v>
      </c>
      <c r="AS134">
        <v>40.4</v>
      </c>
      <c r="AT134">
        <v>7</v>
      </c>
      <c r="AU134">
        <v>12</v>
      </c>
      <c r="AV134">
        <v>572</v>
      </c>
      <c r="AW134" t="s">
        <v>87</v>
      </c>
      <c r="AX134">
        <v>42</v>
      </c>
      <c r="AY134">
        <v>42101</v>
      </c>
      <c r="AZ134">
        <v>11</v>
      </c>
    </row>
    <row r="135" spans="1:52" x14ac:dyDescent="0.3">
      <c r="A135">
        <v>89</v>
      </c>
      <c r="B135" s="3">
        <v>262382000000</v>
      </c>
      <c r="C135" t="s">
        <v>512</v>
      </c>
      <c r="D135" t="str">
        <f>IF(ISNUMBER(SEARCH("High",C135)), "High School","")</f>
        <v>High School</v>
      </c>
      <c r="E135">
        <v>2623820</v>
      </c>
      <c r="F135" t="s">
        <v>513</v>
      </c>
      <c r="G135" s="1">
        <v>39148</v>
      </c>
      <c r="H135" t="s">
        <v>471</v>
      </c>
      <c r="I135">
        <v>2007</v>
      </c>
      <c r="J135" s="2">
        <v>0.45624999999999999</v>
      </c>
      <c r="K135" t="s">
        <v>90</v>
      </c>
      <c r="L135" t="s">
        <v>514</v>
      </c>
      <c r="M135" t="s">
        <v>145</v>
      </c>
      <c r="N135" s="4">
        <v>10050811</v>
      </c>
      <c r="O135" t="s">
        <v>56</v>
      </c>
      <c r="P135">
        <v>1593</v>
      </c>
      <c r="Q135">
        <v>0</v>
      </c>
      <c r="R135">
        <v>1</v>
      </c>
      <c r="S135">
        <v>1</v>
      </c>
      <c r="T135" t="s">
        <v>70</v>
      </c>
      <c r="U135">
        <v>17</v>
      </c>
      <c r="V135" t="s">
        <v>58</v>
      </c>
      <c r="W135" t="s">
        <v>59</v>
      </c>
      <c r="X135" t="s">
        <v>515</v>
      </c>
      <c r="Y135">
        <v>1</v>
      </c>
      <c r="Z135" t="s">
        <v>61</v>
      </c>
      <c r="AG135">
        <v>1475</v>
      </c>
      <c r="AH135">
        <v>32</v>
      </c>
      <c r="AI135">
        <v>26</v>
      </c>
      <c r="AJ135">
        <v>56</v>
      </c>
      <c r="AK135">
        <v>4</v>
      </c>
      <c r="AN135">
        <v>0</v>
      </c>
      <c r="AO135" t="s">
        <v>516</v>
      </c>
      <c r="AQ135">
        <v>43.640909999999998</v>
      </c>
      <c r="AR135">
        <v>-84.274140000000003</v>
      </c>
      <c r="AS135">
        <v>78.599999999999994</v>
      </c>
      <c r="AT135">
        <v>8</v>
      </c>
      <c r="AU135">
        <v>12</v>
      </c>
      <c r="AV135">
        <v>201</v>
      </c>
      <c r="AW135" t="s">
        <v>517</v>
      </c>
      <c r="AX135">
        <v>26</v>
      </c>
      <c r="AY135">
        <v>26111</v>
      </c>
      <c r="AZ135">
        <v>31</v>
      </c>
    </row>
    <row r="136" spans="1:52" x14ac:dyDescent="0.3">
      <c r="A136">
        <v>90</v>
      </c>
      <c r="B136" s="3">
        <v>170993000000</v>
      </c>
      <c r="C136" t="s">
        <v>518</v>
      </c>
      <c r="D136" t="s">
        <v>1539</v>
      </c>
      <c r="E136">
        <v>1709930</v>
      </c>
      <c r="F136" t="s">
        <v>407</v>
      </c>
      <c r="G136" s="1">
        <v>39181</v>
      </c>
      <c r="H136" t="s">
        <v>471</v>
      </c>
      <c r="I136">
        <v>2007</v>
      </c>
      <c r="J136" s="2">
        <v>0.60416666666666663</v>
      </c>
      <c r="K136" t="s">
        <v>82</v>
      </c>
      <c r="L136" t="s">
        <v>128</v>
      </c>
      <c r="M136" t="s">
        <v>129</v>
      </c>
      <c r="N136" s="4">
        <v>12671469</v>
      </c>
      <c r="O136" t="s">
        <v>56</v>
      </c>
      <c r="P136">
        <v>2020</v>
      </c>
      <c r="Q136">
        <v>0</v>
      </c>
      <c r="R136">
        <v>1</v>
      </c>
      <c r="S136">
        <v>1</v>
      </c>
      <c r="T136" t="s">
        <v>114</v>
      </c>
      <c r="U136">
        <v>15</v>
      </c>
      <c r="V136" t="s">
        <v>58</v>
      </c>
      <c r="X136" t="s">
        <v>60</v>
      </c>
      <c r="Y136">
        <v>0</v>
      </c>
      <c r="AG136">
        <v>2</v>
      </c>
      <c r="AH136">
        <v>1993</v>
      </c>
      <c r="AI136">
        <v>7</v>
      </c>
      <c r="AJ136">
        <v>0</v>
      </c>
      <c r="AK136">
        <v>1</v>
      </c>
      <c r="AN136">
        <v>0</v>
      </c>
      <c r="AO136" t="s">
        <v>327</v>
      </c>
      <c r="AQ136">
        <v>41.737200000000001</v>
      </c>
      <c r="AR136">
        <v>-87.572360000000003</v>
      </c>
      <c r="AS136">
        <v>105</v>
      </c>
      <c r="AT136">
        <v>9</v>
      </c>
      <c r="AU136">
        <v>12</v>
      </c>
      <c r="AV136">
        <v>1930</v>
      </c>
      <c r="AW136" t="s">
        <v>131</v>
      </c>
      <c r="AX136">
        <v>17</v>
      </c>
      <c r="AY136">
        <v>17031</v>
      </c>
      <c r="AZ136">
        <v>11</v>
      </c>
    </row>
    <row r="137" spans="1:52" x14ac:dyDescent="0.3">
      <c r="A137">
        <v>96</v>
      </c>
      <c r="B137" s="3">
        <v>370012000000</v>
      </c>
      <c r="C137" t="s">
        <v>541</v>
      </c>
      <c r="D137" t="str">
        <f>IF(ISNUMBER(SEARCH("High",C137)), "High School","")</f>
        <v>High School</v>
      </c>
      <c r="E137">
        <v>3700122</v>
      </c>
      <c r="F137" t="s">
        <v>542</v>
      </c>
      <c r="G137" s="1">
        <v>39463</v>
      </c>
      <c r="H137" t="s">
        <v>534</v>
      </c>
      <c r="I137">
        <v>2008</v>
      </c>
      <c r="J137" s="2">
        <v>0.42708333333333331</v>
      </c>
      <c r="K137" t="s">
        <v>90</v>
      </c>
      <c r="L137" t="s">
        <v>338</v>
      </c>
      <c r="M137" t="s">
        <v>326</v>
      </c>
      <c r="N137" s="4">
        <v>10551162</v>
      </c>
      <c r="O137" t="s">
        <v>56</v>
      </c>
      <c r="P137">
        <v>244</v>
      </c>
      <c r="Q137">
        <v>0</v>
      </c>
      <c r="R137">
        <v>1</v>
      </c>
      <c r="S137">
        <v>1</v>
      </c>
      <c r="T137" t="s">
        <v>114</v>
      </c>
      <c r="U137">
        <v>16</v>
      </c>
      <c r="V137" t="s">
        <v>58</v>
      </c>
      <c r="W137" t="s">
        <v>146</v>
      </c>
      <c r="X137" t="s">
        <v>60</v>
      </c>
      <c r="Y137">
        <v>0</v>
      </c>
      <c r="AG137">
        <v>5</v>
      </c>
      <c r="AH137">
        <v>230</v>
      </c>
      <c r="AI137">
        <v>8</v>
      </c>
      <c r="AJ137">
        <v>0</v>
      </c>
      <c r="AK137">
        <v>1</v>
      </c>
      <c r="AN137">
        <v>0</v>
      </c>
      <c r="AQ137">
        <v>35.260390000000001</v>
      </c>
      <c r="AR137">
        <v>-80.775909999999996</v>
      </c>
      <c r="AS137">
        <v>13</v>
      </c>
      <c r="AT137">
        <v>9</v>
      </c>
      <c r="AU137">
        <v>12</v>
      </c>
      <c r="AW137" t="s">
        <v>339</v>
      </c>
      <c r="AX137">
        <v>37</v>
      </c>
      <c r="AY137">
        <v>37119</v>
      </c>
      <c r="AZ137">
        <v>11</v>
      </c>
    </row>
    <row r="138" spans="1:52" x14ac:dyDescent="0.3">
      <c r="A138">
        <v>97</v>
      </c>
      <c r="B138" s="3">
        <v>470294000000</v>
      </c>
      <c r="C138" t="s">
        <v>543</v>
      </c>
      <c r="D138" t="str">
        <f>IF(ISNUMBER(SEARCH("High",C138)), "High School","")</f>
        <v>High School</v>
      </c>
      <c r="E138">
        <v>4702940</v>
      </c>
      <c r="F138" t="s">
        <v>544</v>
      </c>
      <c r="G138" s="1">
        <v>39482</v>
      </c>
      <c r="H138" t="s">
        <v>534</v>
      </c>
      <c r="I138">
        <v>2008</v>
      </c>
      <c r="J138" s="2">
        <v>0.41666666666666669</v>
      </c>
      <c r="K138" t="s">
        <v>82</v>
      </c>
      <c r="L138" t="s">
        <v>545</v>
      </c>
      <c r="M138" t="s">
        <v>377</v>
      </c>
      <c r="N138" s="4">
        <v>6975218</v>
      </c>
      <c r="O138" t="s">
        <v>56</v>
      </c>
      <c r="P138">
        <v>1581</v>
      </c>
      <c r="Q138">
        <v>0</v>
      </c>
      <c r="R138">
        <v>1</v>
      </c>
      <c r="S138">
        <v>1</v>
      </c>
      <c r="T138" t="s">
        <v>70</v>
      </c>
      <c r="U138">
        <v>16</v>
      </c>
      <c r="V138" t="s">
        <v>58</v>
      </c>
      <c r="X138" t="s">
        <v>60</v>
      </c>
      <c r="Y138">
        <v>0</v>
      </c>
      <c r="AG138">
        <v>4</v>
      </c>
      <c r="AH138">
        <v>1577</v>
      </c>
      <c r="AI138">
        <v>0</v>
      </c>
      <c r="AJ138">
        <v>0</v>
      </c>
      <c r="AK138">
        <v>0</v>
      </c>
      <c r="AN138">
        <v>0</v>
      </c>
      <c r="AO138" t="s">
        <v>546</v>
      </c>
      <c r="AQ138">
        <v>35.10069</v>
      </c>
      <c r="AR138">
        <v>-90.017399999999995</v>
      </c>
      <c r="AS138">
        <v>87.9</v>
      </c>
      <c r="AT138">
        <v>9</v>
      </c>
      <c r="AU138">
        <v>12</v>
      </c>
      <c r="AV138">
        <v>863</v>
      </c>
      <c r="AW138" t="s">
        <v>547</v>
      </c>
      <c r="AX138">
        <v>47</v>
      </c>
      <c r="AY138">
        <v>47157</v>
      </c>
      <c r="AZ138">
        <v>11</v>
      </c>
    </row>
    <row r="139" spans="1:52" x14ac:dyDescent="0.3">
      <c r="A139">
        <v>98</v>
      </c>
      <c r="B139">
        <v>1059778</v>
      </c>
      <c r="C139" t="s">
        <v>548</v>
      </c>
      <c r="D139" t="str">
        <f>IF(ISNUMBER(SEARCH("Elementary",C139)), "Elementary School","")</f>
        <v>Elementary School</v>
      </c>
      <c r="G139" s="1">
        <v>39485</v>
      </c>
      <c r="H139" t="s">
        <v>534</v>
      </c>
      <c r="I139">
        <v>2008</v>
      </c>
      <c r="J139" s="2">
        <v>0.3833333333333333</v>
      </c>
      <c r="K139" t="s">
        <v>67</v>
      </c>
      <c r="L139" t="s">
        <v>549</v>
      </c>
      <c r="M139" t="s">
        <v>180</v>
      </c>
      <c r="N139" s="4">
        <v>11780017</v>
      </c>
      <c r="O139" t="s">
        <v>216</v>
      </c>
      <c r="P139">
        <v>166</v>
      </c>
      <c r="Q139">
        <v>0</v>
      </c>
      <c r="R139">
        <v>1</v>
      </c>
      <c r="S139">
        <v>1</v>
      </c>
      <c r="T139" t="s">
        <v>70</v>
      </c>
      <c r="U139">
        <v>56</v>
      </c>
      <c r="V139" t="s">
        <v>58</v>
      </c>
      <c r="W139" t="s">
        <v>59</v>
      </c>
      <c r="X139" t="s">
        <v>161</v>
      </c>
      <c r="Y139">
        <v>1</v>
      </c>
      <c r="Z139" t="s">
        <v>61</v>
      </c>
      <c r="AG139">
        <v>158</v>
      </c>
      <c r="AH139">
        <v>3</v>
      </c>
      <c r="AI139">
        <v>1</v>
      </c>
      <c r="AJ139">
        <v>0</v>
      </c>
      <c r="AK139">
        <v>4</v>
      </c>
      <c r="AN139">
        <v>0</v>
      </c>
      <c r="AQ139">
        <v>38.735562999999999</v>
      </c>
      <c r="AR139">
        <v>-82.986607000000006</v>
      </c>
      <c r="AS139">
        <v>14</v>
      </c>
      <c r="AT139" t="s">
        <v>130</v>
      </c>
      <c r="AU139">
        <v>6</v>
      </c>
      <c r="AW139" t="s">
        <v>550</v>
      </c>
      <c r="AX139">
        <v>39</v>
      </c>
      <c r="AY139">
        <v>39145</v>
      </c>
      <c r="AZ139">
        <v>31</v>
      </c>
    </row>
    <row r="140" spans="1:52" x14ac:dyDescent="0.3">
      <c r="A140">
        <v>99</v>
      </c>
      <c r="B140" s="3">
        <v>470294000000</v>
      </c>
      <c r="C140" t="s">
        <v>551</v>
      </c>
      <c r="D140" t="str">
        <f>IF(ISNUMBER(SEARCH("High",C140)), "High School","")</f>
        <v>High School</v>
      </c>
      <c r="E140">
        <v>4702940</v>
      </c>
      <c r="F140" t="s">
        <v>544</v>
      </c>
      <c r="G140" s="1">
        <v>39489</v>
      </c>
      <c r="H140" t="s">
        <v>534</v>
      </c>
      <c r="I140">
        <v>2008</v>
      </c>
      <c r="J140" s="2">
        <v>0.375</v>
      </c>
      <c r="K140" t="s">
        <v>82</v>
      </c>
      <c r="L140" t="s">
        <v>545</v>
      </c>
      <c r="M140" t="s">
        <v>377</v>
      </c>
      <c r="N140" s="4">
        <v>6975218</v>
      </c>
      <c r="O140" t="s">
        <v>56</v>
      </c>
      <c r="P140">
        <v>1110</v>
      </c>
      <c r="Q140">
        <v>0</v>
      </c>
      <c r="R140">
        <v>1</v>
      </c>
      <c r="S140">
        <v>1</v>
      </c>
      <c r="T140" t="s">
        <v>70</v>
      </c>
      <c r="U140">
        <v>17</v>
      </c>
      <c r="V140" t="s">
        <v>58</v>
      </c>
      <c r="X140" t="s">
        <v>60</v>
      </c>
      <c r="Y140">
        <v>0</v>
      </c>
      <c r="AG140">
        <v>0</v>
      </c>
      <c r="AH140">
        <v>1109</v>
      </c>
      <c r="AI140">
        <v>0</v>
      </c>
      <c r="AJ140">
        <v>1</v>
      </c>
      <c r="AK140">
        <v>0</v>
      </c>
      <c r="AN140">
        <v>1</v>
      </c>
      <c r="AO140" t="s">
        <v>420</v>
      </c>
      <c r="AP140" t="s">
        <v>552</v>
      </c>
      <c r="AQ140">
        <v>35.055950000000003</v>
      </c>
      <c r="AR140">
        <v>-90.085890000000006</v>
      </c>
      <c r="AS140">
        <v>53.8</v>
      </c>
      <c r="AT140">
        <v>9</v>
      </c>
      <c r="AU140">
        <v>12</v>
      </c>
      <c r="AV140">
        <v>787</v>
      </c>
      <c r="AW140" t="s">
        <v>547</v>
      </c>
      <c r="AX140">
        <v>47</v>
      </c>
      <c r="AY140">
        <v>47157</v>
      </c>
      <c r="AZ140">
        <v>11</v>
      </c>
    </row>
    <row r="141" spans="1:52" x14ac:dyDescent="0.3">
      <c r="A141">
        <v>100</v>
      </c>
      <c r="B141">
        <v>61785002199</v>
      </c>
      <c r="C141" t="s">
        <v>553</v>
      </c>
      <c r="D141" t="str">
        <f>IF(ISNUMBER(SEARCH("High",C141)), "High School","")</f>
        <v>High School</v>
      </c>
      <c r="E141">
        <v>617850</v>
      </c>
      <c r="F141" t="s">
        <v>554</v>
      </c>
      <c r="G141" s="1">
        <v>39490</v>
      </c>
      <c r="H141" t="s">
        <v>534</v>
      </c>
      <c r="I141">
        <v>2008</v>
      </c>
      <c r="J141" s="2">
        <v>0.34375</v>
      </c>
      <c r="K141" t="s">
        <v>53</v>
      </c>
      <c r="L141" t="s">
        <v>191</v>
      </c>
      <c r="M141" t="s">
        <v>121</v>
      </c>
      <c r="N141" s="4">
        <v>39237836</v>
      </c>
      <c r="O141" t="s">
        <v>56</v>
      </c>
      <c r="P141">
        <v>1065</v>
      </c>
      <c r="Q141">
        <v>1</v>
      </c>
      <c r="R141">
        <v>0</v>
      </c>
      <c r="S141">
        <v>1</v>
      </c>
      <c r="T141" t="s">
        <v>70</v>
      </c>
      <c r="U141">
        <v>14</v>
      </c>
      <c r="V141" t="s">
        <v>58</v>
      </c>
      <c r="X141" t="s">
        <v>60</v>
      </c>
      <c r="Y141">
        <v>0</v>
      </c>
      <c r="AG141">
        <v>125</v>
      </c>
      <c r="AH141">
        <v>49</v>
      </c>
      <c r="AI141">
        <v>829</v>
      </c>
      <c r="AJ141">
        <v>58</v>
      </c>
      <c r="AK141">
        <v>4</v>
      </c>
      <c r="AN141">
        <v>0</v>
      </c>
      <c r="AO141" t="s">
        <v>173</v>
      </c>
      <c r="AP141" t="s">
        <v>555</v>
      </c>
      <c r="AQ141">
        <v>34.165680000000002</v>
      </c>
      <c r="AR141">
        <v>-119.1814</v>
      </c>
      <c r="AS141">
        <v>50</v>
      </c>
      <c r="AT141">
        <v>6</v>
      </c>
      <c r="AU141">
        <v>8</v>
      </c>
      <c r="AV141">
        <v>775</v>
      </c>
      <c r="AW141" t="s">
        <v>194</v>
      </c>
      <c r="AX141">
        <v>6</v>
      </c>
      <c r="AY141">
        <v>6111</v>
      </c>
      <c r="AZ141">
        <v>12</v>
      </c>
    </row>
    <row r="142" spans="1:52" x14ac:dyDescent="0.3">
      <c r="A142">
        <v>102</v>
      </c>
      <c r="B142">
        <v>61455001762</v>
      </c>
      <c r="C142" t="s">
        <v>560</v>
      </c>
      <c r="D142" t="str">
        <f>IF(ISNUMBER(SEARCH("High",C142)), "High School","")</f>
        <v>High School</v>
      </c>
      <c r="E142">
        <v>614550</v>
      </c>
      <c r="F142" t="s">
        <v>561</v>
      </c>
      <c r="G142" s="1">
        <v>39554</v>
      </c>
      <c r="H142" t="s">
        <v>534</v>
      </c>
      <c r="I142">
        <v>2008</v>
      </c>
      <c r="J142" s="2">
        <v>0.49583333333333335</v>
      </c>
      <c r="K142" t="s">
        <v>90</v>
      </c>
      <c r="L142" t="s">
        <v>562</v>
      </c>
      <c r="M142" t="s">
        <v>121</v>
      </c>
      <c r="N142" s="4">
        <v>39237836</v>
      </c>
      <c r="O142" t="s">
        <v>56</v>
      </c>
      <c r="P142">
        <v>2735</v>
      </c>
      <c r="Q142">
        <v>1</v>
      </c>
      <c r="R142">
        <v>0</v>
      </c>
      <c r="S142">
        <v>1</v>
      </c>
      <c r="T142" t="s">
        <v>70</v>
      </c>
      <c r="U142">
        <v>38</v>
      </c>
      <c r="V142" t="s">
        <v>58</v>
      </c>
      <c r="X142" t="s">
        <v>478</v>
      </c>
      <c r="Y142">
        <v>0</v>
      </c>
      <c r="AG142">
        <v>130</v>
      </c>
      <c r="AH142">
        <v>112</v>
      </c>
      <c r="AI142">
        <v>2039</v>
      </c>
      <c r="AJ142">
        <v>444</v>
      </c>
      <c r="AK142">
        <v>10</v>
      </c>
      <c r="AN142">
        <v>1</v>
      </c>
      <c r="AO142" t="s">
        <v>226</v>
      </c>
      <c r="AP142" t="s">
        <v>362</v>
      </c>
      <c r="AQ142">
        <v>36.743020000000001</v>
      </c>
      <c r="AR142">
        <v>-119.75369999999999</v>
      </c>
      <c r="AS142">
        <v>137.6</v>
      </c>
      <c r="AT142">
        <v>9</v>
      </c>
      <c r="AU142">
        <v>12</v>
      </c>
      <c r="AV142">
        <v>2466</v>
      </c>
      <c r="AW142" t="s">
        <v>563</v>
      </c>
      <c r="AX142">
        <v>6</v>
      </c>
      <c r="AY142">
        <v>6019</v>
      </c>
      <c r="AZ142">
        <v>11</v>
      </c>
    </row>
    <row r="143" spans="1:52" x14ac:dyDescent="0.3">
      <c r="A143">
        <v>103</v>
      </c>
      <c r="B143" s="3">
        <v>470222000000</v>
      </c>
      <c r="C143" t="s">
        <v>422</v>
      </c>
      <c r="D143" t="str">
        <f>IF(ISNUMBER(SEARCH("High",C143)), "High School","")</f>
        <v>High School</v>
      </c>
      <c r="E143">
        <v>4702220</v>
      </c>
      <c r="F143" t="s">
        <v>564</v>
      </c>
      <c r="G143" s="1">
        <v>39681</v>
      </c>
      <c r="H143" t="s">
        <v>565</v>
      </c>
      <c r="I143">
        <v>2008</v>
      </c>
      <c r="J143" s="2">
        <v>0.34027777777777773</v>
      </c>
      <c r="K143" t="s">
        <v>67</v>
      </c>
      <c r="L143" t="s">
        <v>566</v>
      </c>
      <c r="M143" t="s">
        <v>377</v>
      </c>
      <c r="N143" s="4">
        <v>6975218</v>
      </c>
      <c r="O143" t="s">
        <v>56</v>
      </c>
      <c r="P143">
        <v>1210</v>
      </c>
      <c r="Q143">
        <v>1</v>
      </c>
      <c r="R143">
        <v>0</v>
      </c>
      <c r="S143">
        <v>1</v>
      </c>
      <c r="T143" t="s">
        <v>70</v>
      </c>
      <c r="U143">
        <v>15</v>
      </c>
      <c r="V143" t="s">
        <v>58</v>
      </c>
      <c r="X143" t="s">
        <v>60</v>
      </c>
      <c r="Y143">
        <v>0</v>
      </c>
      <c r="AG143">
        <v>872</v>
      </c>
      <c r="AH143">
        <v>254</v>
      </c>
      <c r="AI143">
        <v>55</v>
      </c>
      <c r="AJ143">
        <v>25</v>
      </c>
      <c r="AK143">
        <v>4</v>
      </c>
      <c r="AN143">
        <v>1</v>
      </c>
      <c r="AO143" t="s">
        <v>567</v>
      </c>
      <c r="AQ143">
        <v>36.039200000000001</v>
      </c>
      <c r="AR143">
        <v>-83.921599999999998</v>
      </c>
      <c r="AS143">
        <v>79.5</v>
      </c>
      <c r="AT143">
        <v>9</v>
      </c>
      <c r="AU143">
        <v>12</v>
      </c>
      <c r="AV143">
        <v>569</v>
      </c>
      <c r="AW143" t="s">
        <v>568</v>
      </c>
      <c r="AX143">
        <v>47</v>
      </c>
      <c r="AY143">
        <v>47093</v>
      </c>
      <c r="AZ143">
        <v>12</v>
      </c>
    </row>
    <row r="144" spans="1:52" x14ac:dyDescent="0.3">
      <c r="A144">
        <v>104</v>
      </c>
      <c r="B144" s="3">
        <v>120018000000</v>
      </c>
      <c r="C144" t="s">
        <v>569</v>
      </c>
      <c r="D144" t="str">
        <f>IF(ISNUMBER(SEARCH("High",C144)), "High School","")</f>
        <v>High School</v>
      </c>
      <c r="E144">
        <v>1200180</v>
      </c>
      <c r="F144" t="s">
        <v>570</v>
      </c>
      <c r="G144" s="1">
        <v>39764</v>
      </c>
      <c r="H144" t="s">
        <v>565</v>
      </c>
      <c r="I144">
        <v>2008</v>
      </c>
      <c r="J144" s="2">
        <v>0.45833333333333331</v>
      </c>
      <c r="K144" t="s">
        <v>90</v>
      </c>
      <c r="L144" t="s">
        <v>571</v>
      </c>
      <c r="M144" t="s">
        <v>113</v>
      </c>
      <c r="N144" s="4">
        <v>21781128</v>
      </c>
      <c r="O144" t="s">
        <v>56</v>
      </c>
      <c r="P144">
        <v>1758</v>
      </c>
      <c r="Q144">
        <v>1</v>
      </c>
      <c r="R144">
        <v>0</v>
      </c>
      <c r="S144">
        <v>1</v>
      </c>
      <c r="T144" t="s">
        <v>70</v>
      </c>
      <c r="U144">
        <v>15</v>
      </c>
      <c r="V144" t="s">
        <v>152</v>
      </c>
      <c r="W144" t="s">
        <v>146</v>
      </c>
      <c r="X144" t="s">
        <v>60</v>
      </c>
      <c r="Y144">
        <v>0</v>
      </c>
      <c r="AG144">
        <v>80</v>
      </c>
      <c r="AH144">
        <v>1576</v>
      </c>
      <c r="AI144">
        <v>76</v>
      </c>
      <c r="AJ144">
        <v>6</v>
      </c>
      <c r="AK144">
        <v>1</v>
      </c>
      <c r="AN144">
        <v>1</v>
      </c>
      <c r="AO144" t="s">
        <v>572</v>
      </c>
      <c r="AP144" t="s">
        <v>573</v>
      </c>
      <c r="AQ144">
        <v>26.138300000000001</v>
      </c>
      <c r="AR144">
        <v>-80.176000000000002</v>
      </c>
      <c r="AS144">
        <v>149.4</v>
      </c>
      <c r="AT144">
        <v>9</v>
      </c>
      <c r="AU144">
        <v>12</v>
      </c>
      <c r="AV144">
        <v>1193</v>
      </c>
      <c r="AW144" t="s">
        <v>574</v>
      </c>
      <c r="AX144">
        <v>12</v>
      </c>
      <c r="AY144">
        <v>12011</v>
      </c>
      <c r="AZ144">
        <v>12</v>
      </c>
    </row>
    <row r="145" spans="1:52" x14ac:dyDescent="0.3">
      <c r="A145">
        <v>111</v>
      </c>
      <c r="B145" s="3">
        <v>360002000000</v>
      </c>
      <c r="C145" t="s">
        <v>596</v>
      </c>
      <c r="D145" t="str">
        <f>IF(ISNUMBER(SEARCH("High",C145)), "High School","")</f>
        <v>High School</v>
      </c>
      <c r="E145">
        <v>3600021</v>
      </c>
      <c r="F145" t="s">
        <v>597</v>
      </c>
      <c r="G145" s="1">
        <v>40094</v>
      </c>
      <c r="H145" t="s">
        <v>587</v>
      </c>
      <c r="I145">
        <v>2009</v>
      </c>
      <c r="J145" s="2">
        <v>0.58333333333333337</v>
      </c>
      <c r="K145" t="s">
        <v>67</v>
      </c>
      <c r="L145" t="s">
        <v>598</v>
      </c>
      <c r="M145" t="s">
        <v>263</v>
      </c>
      <c r="N145" s="4">
        <v>19835913</v>
      </c>
      <c r="O145" t="s">
        <v>56</v>
      </c>
      <c r="P145">
        <v>812</v>
      </c>
      <c r="Q145">
        <v>0</v>
      </c>
      <c r="R145">
        <v>1</v>
      </c>
      <c r="S145">
        <v>1</v>
      </c>
      <c r="T145" t="s">
        <v>114</v>
      </c>
      <c r="U145">
        <v>28</v>
      </c>
      <c r="V145" t="s">
        <v>58</v>
      </c>
      <c r="Y145">
        <v>0</v>
      </c>
      <c r="AG145">
        <v>736</v>
      </c>
      <c r="AH145">
        <v>24</v>
      </c>
      <c r="AI145">
        <v>43</v>
      </c>
      <c r="AJ145">
        <v>8</v>
      </c>
      <c r="AK145">
        <v>0</v>
      </c>
      <c r="AL145">
        <v>0</v>
      </c>
      <c r="AM145">
        <v>0</v>
      </c>
      <c r="AN145">
        <v>0</v>
      </c>
      <c r="AO145" t="s">
        <v>599</v>
      </c>
      <c r="AP145" t="s">
        <v>600</v>
      </c>
      <c r="AQ145">
        <v>40.996240999999998</v>
      </c>
      <c r="AR145">
        <v>-72.529205000000005</v>
      </c>
      <c r="AS145">
        <v>68.28</v>
      </c>
      <c r="AT145">
        <v>7</v>
      </c>
      <c r="AU145">
        <v>12</v>
      </c>
      <c r="AV145">
        <v>86</v>
      </c>
      <c r="AW145" t="s">
        <v>92</v>
      </c>
      <c r="AX145">
        <v>36</v>
      </c>
      <c r="AY145">
        <v>36103</v>
      </c>
      <c r="AZ145">
        <v>31</v>
      </c>
    </row>
    <row r="146" spans="1:52" x14ac:dyDescent="0.3">
      <c r="A146">
        <v>112</v>
      </c>
      <c r="B146" s="3">
        <v>450249000000</v>
      </c>
      <c r="C146" t="s">
        <v>601</v>
      </c>
      <c r="D146" t="str">
        <f>IF(ISNUMBER(SEARCH("High",C146)), "High School","")</f>
        <v>High School</v>
      </c>
      <c r="E146">
        <v>4502490</v>
      </c>
      <c r="F146" t="s">
        <v>602</v>
      </c>
      <c r="G146" s="1">
        <v>40102</v>
      </c>
      <c r="H146" t="s">
        <v>587</v>
      </c>
      <c r="I146">
        <v>2009</v>
      </c>
      <c r="J146" s="2">
        <v>0.35069444444444442</v>
      </c>
      <c r="K146" t="s">
        <v>95</v>
      </c>
      <c r="L146" t="s">
        <v>603</v>
      </c>
      <c r="M146" t="s">
        <v>604</v>
      </c>
      <c r="N146" s="4">
        <v>5190705</v>
      </c>
      <c r="O146" t="s">
        <v>56</v>
      </c>
      <c r="P146">
        <v>1958</v>
      </c>
      <c r="Q146">
        <v>1</v>
      </c>
      <c r="R146">
        <v>0</v>
      </c>
      <c r="S146">
        <v>1</v>
      </c>
      <c r="T146" t="s">
        <v>70</v>
      </c>
      <c r="V146" t="s">
        <v>58</v>
      </c>
      <c r="W146" t="s">
        <v>59</v>
      </c>
      <c r="X146" t="s">
        <v>605</v>
      </c>
      <c r="Y146">
        <v>0</v>
      </c>
      <c r="AG146">
        <v>1400</v>
      </c>
      <c r="AH146">
        <v>309</v>
      </c>
      <c r="AI146">
        <v>124</v>
      </c>
      <c r="AJ146">
        <v>60</v>
      </c>
      <c r="AK146">
        <v>25</v>
      </c>
      <c r="AN146">
        <v>1</v>
      </c>
      <c r="AO146" t="s">
        <v>606</v>
      </c>
      <c r="AP146" t="s">
        <v>362</v>
      </c>
      <c r="AQ146">
        <v>33.780760999999998</v>
      </c>
      <c r="AR146">
        <v>-78.971519999999998</v>
      </c>
      <c r="AS146">
        <v>102.5</v>
      </c>
      <c r="AT146">
        <v>9</v>
      </c>
      <c r="AU146">
        <v>12</v>
      </c>
      <c r="AV146">
        <v>901</v>
      </c>
      <c r="AW146" t="s">
        <v>607</v>
      </c>
      <c r="AX146">
        <v>45</v>
      </c>
      <c r="AY146">
        <v>45051</v>
      </c>
      <c r="AZ146">
        <v>41</v>
      </c>
    </row>
    <row r="147" spans="1:52" x14ac:dyDescent="0.3">
      <c r="A147">
        <v>113</v>
      </c>
      <c r="B147" s="3">
        <v>220030000000</v>
      </c>
      <c r="C147" t="s">
        <v>360</v>
      </c>
      <c r="D147" t="str">
        <f>IF(ISNUMBER(SEARCH("High",C147)), "High School","")</f>
        <v>High School</v>
      </c>
      <c r="E147">
        <v>2200300</v>
      </c>
      <c r="F147" t="s">
        <v>608</v>
      </c>
      <c r="G147" s="1">
        <v>40158</v>
      </c>
      <c r="H147" t="s">
        <v>587</v>
      </c>
      <c r="I147">
        <v>2009</v>
      </c>
      <c r="J147" s="2">
        <v>0.34027777777777773</v>
      </c>
      <c r="K147" t="s">
        <v>95</v>
      </c>
      <c r="L147" t="s">
        <v>609</v>
      </c>
      <c r="M147" t="s">
        <v>69</v>
      </c>
      <c r="N147" s="4">
        <v>4624047</v>
      </c>
      <c r="O147" t="s">
        <v>56</v>
      </c>
      <c r="P147">
        <v>336</v>
      </c>
      <c r="Q147">
        <v>0</v>
      </c>
      <c r="R147">
        <v>1</v>
      </c>
      <c r="S147">
        <v>1</v>
      </c>
      <c r="T147" t="s">
        <v>70</v>
      </c>
      <c r="U147">
        <v>28</v>
      </c>
      <c r="V147" t="s">
        <v>58</v>
      </c>
      <c r="W147" t="s">
        <v>146</v>
      </c>
      <c r="X147" t="s">
        <v>610</v>
      </c>
      <c r="Y147">
        <v>0</v>
      </c>
      <c r="AG147">
        <v>1</v>
      </c>
      <c r="AH147">
        <v>335</v>
      </c>
      <c r="AI147">
        <v>0</v>
      </c>
      <c r="AJ147">
        <v>0</v>
      </c>
      <c r="AK147">
        <v>0</v>
      </c>
      <c r="AN147">
        <v>1</v>
      </c>
      <c r="AO147" t="s">
        <v>136</v>
      </c>
      <c r="AQ147">
        <v>32.503605</v>
      </c>
      <c r="AR147">
        <v>-93.773979999999995</v>
      </c>
      <c r="AS147">
        <v>34.549999999999997</v>
      </c>
      <c r="AT147">
        <v>9</v>
      </c>
      <c r="AU147">
        <v>12</v>
      </c>
      <c r="AV147">
        <v>278</v>
      </c>
      <c r="AW147" t="s">
        <v>608</v>
      </c>
      <c r="AX147">
        <v>22</v>
      </c>
      <c r="AY147">
        <v>22017</v>
      </c>
      <c r="AZ147">
        <v>12</v>
      </c>
    </row>
    <row r="148" spans="1:52" x14ac:dyDescent="0.3">
      <c r="A148">
        <v>114</v>
      </c>
      <c r="B148">
        <v>10000800495</v>
      </c>
      <c r="C148" t="s">
        <v>611</v>
      </c>
      <c r="D148" t="str">
        <f>IF(ISNUMBER(SEARCH("Middle",C148)), "Middle School","")</f>
        <v>Middle School</v>
      </c>
      <c r="E148">
        <v>100008</v>
      </c>
      <c r="F148" t="s">
        <v>612</v>
      </c>
      <c r="G148" s="1">
        <v>40214</v>
      </c>
      <c r="H148" t="s">
        <v>587</v>
      </c>
      <c r="I148">
        <v>2010</v>
      </c>
      <c r="J148" s="2">
        <v>0.57291666666666663</v>
      </c>
      <c r="K148" t="s">
        <v>95</v>
      </c>
      <c r="L148" t="s">
        <v>613</v>
      </c>
      <c r="M148" t="s">
        <v>614</v>
      </c>
      <c r="N148" s="4">
        <v>5039877</v>
      </c>
      <c r="O148" t="s">
        <v>56</v>
      </c>
      <c r="P148">
        <v>1000</v>
      </c>
      <c r="Q148">
        <v>1</v>
      </c>
      <c r="R148">
        <v>0</v>
      </c>
      <c r="S148">
        <v>1</v>
      </c>
      <c r="T148" t="s">
        <v>70</v>
      </c>
      <c r="U148">
        <v>14</v>
      </c>
      <c r="V148" t="s">
        <v>58</v>
      </c>
      <c r="W148" t="s">
        <v>615</v>
      </c>
      <c r="X148" t="s">
        <v>60</v>
      </c>
      <c r="Y148">
        <v>0</v>
      </c>
      <c r="AG148">
        <v>707</v>
      </c>
      <c r="AH148">
        <v>188</v>
      </c>
      <c r="AI148">
        <v>27</v>
      </c>
      <c r="AJ148">
        <v>50</v>
      </c>
      <c r="AK148">
        <v>8</v>
      </c>
      <c r="AN148">
        <v>1</v>
      </c>
      <c r="AO148" t="s">
        <v>420</v>
      </c>
      <c r="AP148" t="s">
        <v>616</v>
      </c>
      <c r="AQ148">
        <v>34.740321999999999</v>
      </c>
      <c r="AR148">
        <v>-86.741147999999995</v>
      </c>
      <c r="AS148">
        <v>54.5</v>
      </c>
      <c r="AT148">
        <v>7</v>
      </c>
      <c r="AU148">
        <v>9</v>
      </c>
      <c r="AV148">
        <v>176</v>
      </c>
      <c r="AW148" t="s">
        <v>617</v>
      </c>
      <c r="AX148">
        <v>1</v>
      </c>
      <c r="AY148">
        <v>1089</v>
      </c>
      <c r="AZ148">
        <v>22</v>
      </c>
    </row>
    <row r="149" spans="1:52" x14ac:dyDescent="0.3">
      <c r="A149">
        <v>117</v>
      </c>
      <c r="B149">
        <v>62271003364</v>
      </c>
      <c r="C149" t="s">
        <v>624</v>
      </c>
      <c r="D149" t="str">
        <f>IF(ISNUMBER(SEARCH("High",C149)), "High School","")</f>
        <v>High School</v>
      </c>
      <c r="E149">
        <v>622710</v>
      </c>
      <c r="F149" t="s">
        <v>240</v>
      </c>
      <c r="G149" s="1">
        <v>40316</v>
      </c>
      <c r="H149" t="s">
        <v>587</v>
      </c>
      <c r="I149">
        <v>2010</v>
      </c>
      <c r="J149" s="2">
        <v>0.32708333333333334</v>
      </c>
      <c r="K149" t="s">
        <v>53</v>
      </c>
      <c r="L149" t="s">
        <v>625</v>
      </c>
      <c r="M149" t="s">
        <v>121</v>
      </c>
      <c r="N149" s="4">
        <v>39237836</v>
      </c>
      <c r="O149" t="s">
        <v>56</v>
      </c>
      <c r="P149">
        <v>3289</v>
      </c>
      <c r="Q149">
        <v>0</v>
      </c>
      <c r="R149">
        <v>1</v>
      </c>
      <c r="S149">
        <v>1</v>
      </c>
      <c r="T149" t="s">
        <v>70</v>
      </c>
      <c r="U149">
        <v>15</v>
      </c>
      <c r="V149" t="s">
        <v>58</v>
      </c>
      <c r="X149" t="s">
        <v>60</v>
      </c>
      <c r="Y149">
        <v>0</v>
      </c>
      <c r="AG149">
        <v>12</v>
      </c>
      <c r="AH149">
        <v>11</v>
      </c>
      <c r="AI149">
        <v>3251</v>
      </c>
      <c r="AJ149">
        <v>3</v>
      </c>
      <c r="AK149">
        <v>10</v>
      </c>
      <c r="AL149">
        <v>0</v>
      </c>
      <c r="AM149">
        <v>2</v>
      </c>
      <c r="AN149">
        <v>0</v>
      </c>
      <c r="AQ149">
        <v>33.954604000000003</v>
      </c>
      <c r="AR149">
        <v>-118.209757</v>
      </c>
      <c r="AS149">
        <v>126.1</v>
      </c>
      <c r="AT149">
        <v>9</v>
      </c>
      <c r="AU149">
        <v>12</v>
      </c>
      <c r="AV149">
        <v>2373</v>
      </c>
      <c r="AW149" t="s">
        <v>243</v>
      </c>
      <c r="AX149">
        <v>6</v>
      </c>
      <c r="AY149">
        <v>6037</v>
      </c>
      <c r="AZ149">
        <v>21</v>
      </c>
    </row>
    <row r="150" spans="1:52" x14ac:dyDescent="0.3">
      <c r="A150">
        <v>118</v>
      </c>
      <c r="B150" s="3">
        <v>470399000000</v>
      </c>
      <c r="C150" t="s">
        <v>626</v>
      </c>
      <c r="D150" t="str">
        <f>IF(ISNUMBER(SEARCH("High",C150)), "High School","")</f>
        <v>High School</v>
      </c>
      <c r="E150">
        <v>4703990</v>
      </c>
      <c r="F150" t="s">
        <v>627</v>
      </c>
      <c r="G150" s="1">
        <v>40420</v>
      </c>
      <c r="H150" t="s">
        <v>628</v>
      </c>
      <c r="I150">
        <v>2010</v>
      </c>
      <c r="J150" s="2">
        <v>0.38194444444444442</v>
      </c>
      <c r="K150" t="s">
        <v>82</v>
      </c>
      <c r="L150" t="s">
        <v>629</v>
      </c>
      <c r="M150" t="s">
        <v>377</v>
      </c>
      <c r="N150" s="4">
        <v>6975218</v>
      </c>
      <c r="O150" t="s">
        <v>56</v>
      </c>
      <c r="P150">
        <v>1115</v>
      </c>
      <c r="Q150">
        <v>1</v>
      </c>
      <c r="R150">
        <v>0</v>
      </c>
      <c r="S150">
        <v>1</v>
      </c>
      <c r="T150" t="s">
        <v>70</v>
      </c>
      <c r="X150" t="s">
        <v>630</v>
      </c>
      <c r="Y150">
        <v>0</v>
      </c>
      <c r="AG150">
        <v>1097</v>
      </c>
      <c r="AH150">
        <v>7</v>
      </c>
      <c r="AI150">
        <v>6</v>
      </c>
      <c r="AJ150">
        <v>3</v>
      </c>
      <c r="AK150">
        <v>1</v>
      </c>
      <c r="AL150">
        <v>0</v>
      </c>
      <c r="AM150">
        <v>1</v>
      </c>
      <c r="AN150">
        <v>1</v>
      </c>
      <c r="AO150" t="s">
        <v>136</v>
      </c>
      <c r="AP150" t="s">
        <v>362</v>
      </c>
      <c r="AQ150">
        <v>36.531336000000003</v>
      </c>
      <c r="AR150">
        <v>-82.387049000000005</v>
      </c>
      <c r="AS150">
        <v>67.7</v>
      </c>
      <c r="AT150">
        <v>9</v>
      </c>
      <c r="AU150">
        <v>12</v>
      </c>
      <c r="AV150">
        <v>386</v>
      </c>
      <c r="AW150" t="s">
        <v>627</v>
      </c>
      <c r="AX150">
        <v>47</v>
      </c>
      <c r="AY150">
        <v>47163</v>
      </c>
      <c r="AZ150">
        <v>41</v>
      </c>
    </row>
    <row r="151" spans="1:52" x14ac:dyDescent="0.3">
      <c r="A151">
        <v>119</v>
      </c>
      <c r="B151" s="3">
        <v>450249000000</v>
      </c>
      <c r="C151" t="s">
        <v>631</v>
      </c>
      <c r="D151" t="str">
        <f>IF(ISNUMBER(SEARCH("High",C151)), "High School","")</f>
        <v>High School</v>
      </c>
      <c r="E151">
        <v>4502490</v>
      </c>
      <c r="F151" t="s">
        <v>602</v>
      </c>
      <c r="G151" s="1">
        <v>40442</v>
      </c>
      <c r="H151" t="s">
        <v>628</v>
      </c>
      <c r="I151">
        <v>2010</v>
      </c>
      <c r="J151" s="2">
        <v>0.58333333333333337</v>
      </c>
      <c r="K151" t="s">
        <v>53</v>
      </c>
      <c r="L151" t="s">
        <v>603</v>
      </c>
      <c r="M151" t="s">
        <v>604</v>
      </c>
      <c r="N151" s="4">
        <v>5190705</v>
      </c>
      <c r="O151" t="s">
        <v>56</v>
      </c>
      <c r="P151">
        <v>1453</v>
      </c>
      <c r="Q151">
        <v>0</v>
      </c>
      <c r="R151">
        <v>1</v>
      </c>
      <c r="S151">
        <v>1</v>
      </c>
      <c r="T151" t="s">
        <v>70</v>
      </c>
      <c r="U151">
        <v>14</v>
      </c>
      <c r="V151" t="s">
        <v>58</v>
      </c>
      <c r="W151" t="s">
        <v>59</v>
      </c>
      <c r="X151" t="s">
        <v>60</v>
      </c>
      <c r="Y151">
        <v>0</v>
      </c>
      <c r="AG151">
        <v>1143</v>
      </c>
      <c r="AH151">
        <v>119</v>
      </c>
      <c r="AI151">
        <v>98</v>
      </c>
      <c r="AJ151">
        <v>37</v>
      </c>
      <c r="AK151">
        <v>1</v>
      </c>
      <c r="AL151">
        <v>5</v>
      </c>
      <c r="AM151">
        <v>50</v>
      </c>
      <c r="AN151">
        <v>1</v>
      </c>
      <c r="AO151" t="s">
        <v>242</v>
      </c>
      <c r="AP151" t="s">
        <v>501</v>
      </c>
      <c r="AQ151">
        <v>33.678800000000003</v>
      </c>
      <c r="AR151">
        <v>-79.004328000000001</v>
      </c>
      <c r="AS151">
        <v>80.8</v>
      </c>
      <c r="AT151">
        <v>9</v>
      </c>
      <c r="AU151">
        <v>12</v>
      </c>
      <c r="AV151">
        <v>678</v>
      </c>
      <c r="AW151" t="s">
        <v>607</v>
      </c>
      <c r="AX151">
        <v>45</v>
      </c>
      <c r="AY151">
        <v>45051</v>
      </c>
      <c r="AZ151">
        <v>22</v>
      </c>
    </row>
    <row r="152" spans="1:52" x14ac:dyDescent="0.3">
      <c r="A152">
        <v>120</v>
      </c>
      <c r="B152">
        <v>63398005332</v>
      </c>
      <c r="C152" t="s">
        <v>632</v>
      </c>
      <c r="D152" t="str">
        <f>IF(ISNUMBER(SEARCH("High",C152)), "High School","")</f>
        <v>High School</v>
      </c>
      <c r="E152">
        <v>633980</v>
      </c>
      <c r="F152" t="s">
        <v>633</v>
      </c>
      <c r="G152" s="1">
        <v>40452</v>
      </c>
      <c r="H152" t="s">
        <v>628</v>
      </c>
      <c r="I152">
        <v>2010</v>
      </c>
      <c r="J152" s="2">
        <v>0.32847222222222222</v>
      </c>
      <c r="K152" t="s">
        <v>95</v>
      </c>
      <c r="L152" t="s">
        <v>634</v>
      </c>
      <c r="M152" t="s">
        <v>121</v>
      </c>
      <c r="N152" s="4">
        <v>39237836</v>
      </c>
      <c r="O152" t="s">
        <v>56</v>
      </c>
      <c r="P152">
        <v>2478</v>
      </c>
      <c r="Q152">
        <v>1</v>
      </c>
      <c r="R152">
        <v>0</v>
      </c>
      <c r="S152">
        <v>1</v>
      </c>
      <c r="T152" t="s">
        <v>70</v>
      </c>
      <c r="V152" t="s">
        <v>58</v>
      </c>
      <c r="Y152">
        <v>0</v>
      </c>
      <c r="AG152">
        <v>14</v>
      </c>
      <c r="AH152">
        <v>10</v>
      </c>
      <c r="AI152">
        <v>2420</v>
      </c>
      <c r="AJ152">
        <v>28</v>
      </c>
      <c r="AK152">
        <v>1</v>
      </c>
      <c r="AL152">
        <v>5</v>
      </c>
      <c r="AM152">
        <v>0</v>
      </c>
      <c r="AN152">
        <v>0</v>
      </c>
      <c r="AQ152">
        <v>36.686183999999997</v>
      </c>
      <c r="AR152">
        <v>-121.595961</v>
      </c>
      <c r="AT152">
        <v>3</v>
      </c>
      <c r="AU152">
        <v>12</v>
      </c>
      <c r="AV152">
        <v>1869</v>
      </c>
      <c r="AW152" t="s">
        <v>635</v>
      </c>
      <c r="AX152">
        <v>6</v>
      </c>
      <c r="AY152">
        <v>6053</v>
      </c>
      <c r="AZ152">
        <v>12</v>
      </c>
    </row>
    <row r="153" spans="1:52" x14ac:dyDescent="0.3">
      <c r="A153">
        <v>125</v>
      </c>
      <c r="B153">
        <v>63078004786</v>
      </c>
      <c r="C153" t="s">
        <v>650</v>
      </c>
      <c r="D153" t="str">
        <f>IF(ISNUMBER(SEARCH("Elementary",C153)), "Elementary School","")</f>
        <v>Elementary School</v>
      </c>
      <c r="E153">
        <v>630780</v>
      </c>
      <c r="F153" t="s">
        <v>651</v>
      </c>
      <c r="G153" s="1">
        <v>40576</v>
      </c>
      <c r="H153" t="s">
        <v>628</v>
      </c>
      <c r="I153">
        <v>2011</v>
      </c>
      <c r="J153" s="2">
        <v>0.44236111111111115</v>
      </c>
      <c r="K153" t="s">
        <v>90</v>
      </c>
      <c r="L153" t="s">
        <v>652</v>
      </c>
      <c r="M153" t="s">
        <v>121</v>
      </c>
      <c r="N153" s="4">
        <v>39237836</v>
      </c>
      <c r="O153" t="s">
        <v>56</v>
      </c>
      <c r="P153">
        <v>424</v>
      </c>
      <c r="Q153">
        <v>1</v>
      </c>
      <c r="R153">
        <v>0</v>
      </c>
      <c r="S153">
        <v>1</v>
      </c>
      <c r="T153" t="s">
        <v>70</v>
      </c>
      <c r="U153">
        <v>44</v>
      </c>
      <c r="V153" t="s">
        <v>58</v>
      </c>
      <c r="W153" t="s">
        <v>59</v>
      </c>
      <c r="X153" t="s">
        <v>653</v>
      </c>
      <c r="Y153">
        <v>0</v>
      </c>
      <c r="AG153">
        <v>259</v>
      </c>
      <c r="AH153">
        <v>2</v>
      </c>
      <c r="AI153">
        <v>121</v>
      </c>
      <c r="AJ153">
        <v>3</v>
      </c>
      <c r="AK153">
        <v>8</v>
      </c>
      <c r="AL153">
        <v>0</v>
      </c>
      <c r="AM153">
        <v>31</v>
      </c>
      <c r="AN153">
        <v>0</v>
      </c>
      <c r="AO153" t="s">
        <v>654</v>
      </c>
      <c r="AP153" t="s">
        <v>155</v>
      </c>
      <c r="AQ153">
        <v>38.735106000000002</v>
      </c>
      <c r="AR153">
        <v>-120.779419</v>
      </c>
      <c r="AT153" t="s">
        <v>124</v>
      </c>
      <c r="AU153">
        <v>5</v>
      </c>
      <c r="AV153">
        <v>264</v>
      </c>
      <c r="AW153" t="s">
        <v>655</v>
      </c>
      <c r="AX153">
        <v>6</v>
      </c>
      <c r="AY153">
        <v>6017</v>
      </c>
      <c r="AZ153">
        <v>32</v>
      </c>
    </row>
    <row r="154" spans="1:52" x14ac:dyDescent="0.3">
      <c r="A154">
        <v>126</v>
      </c>
      <c r="B154" s="3">
        <v>180651000000</v>
      </c>
      <c r="C154" t="s">
        <v>656</v>
      </c>
      <c r="D154" t="str">
        <f>IF(ISNUMBER(SEARCH("Middle",C154)), "Middle School","")</f>
        <v>Middle School</v>
      </c>
      <c r="E154">
        <v>1806510</v>
      </c>
      <c r="F154" t="s">
        <v>657</v>
      </c>
      <c r="G154" s="1">
        <v>40627</v>
      </c>
      <c r="H154" t="s">
        <v>628</v>
      </c>
      <c r="I154">
        <v>2011</v>
      </c>
      <c r="J154" s="2">
        <v>0.29166666666666669</v>
      </c>
      <c r="K154" t="s">
        <v>95</v>
      </c>
      <c r="L154" t="s">
        <v>658</v>
      </c>
      <c r="M154" t="s">
        <v>225</v>
      </c>
      <c r="N154" s="4">
        <v>6805985</v>
      </c>
      <c r="O154" t="s">
        <v>56</v>
      </c>
      <c r="P154">
        <v>584</v>
      </c>
      <c r="Q154">
        <v>0</v>
      </c>
      <c r="R154">
        <v>1</v>
      </c>
      <c r="S154">
        <v>1</v>
      </c>
      <c r="T154" t="s">
        <v>70</v>
      </c>
      <c r="U154">
        <v>15</v>
      </c>
      <c r="V154" t="s">
        <v>58</v>
      </c>
      <c r="W154" t="s">
        <v>59</v>
      </c>
      <c r="X154" t="s">
        <v>71</v>
      </c>
      <c r="Y154">
        <v>0</v>
      </c>
      <c r="AG154">
        <v>555</v>
      </c>
      <c r="AH154">
        <v>0</v>
      </c>
      <c r="AI154">
        <v>13</v>
      </c>
      <c r="AJ154">
        <v>2</v>
      </c>
      <c r="AK154">
        <v>2</v>
      </c>
      <c r="AL154">
        <v>0</v>
      </c>
      <c r="AM154">
        <v>12</v>
      </c>
      <c r="AN154">
        <v>0</v>
      </c>
      <c r="AO154" t="s">
        <v>327</v>
      </c>
      <c r="AP154" t="s">
        <v>616</v>
      </c>
      <c r="AQ154">
        <v>39.420620999999997</v>
      </c>
      <c r="AR154">
        <v>-86.427053000000001</v>
      </c>
      <c r="AS154">
        <v>38.97</v>
      </c>
      <c r="AT154">
        <v>6</v>
      </c>
      <c r="AU154">
        <v>8</v>
      </c>
      <c r="AV154">
        <v>354</v>
      </c>
      <c r="AW154" t="s">
        <v>659</v>
      </c>
      <c r="AX154">
        <v>18</v>
      </c>
      <c r="AY154">
        <v>18109</v>
      </c>
      <c r="AZ154">
        <v>31</v>
      </c>
    </row>
    <row r="155" spans="1:52" x14ac:dyDescent="0.3">
      <c r="A155">
        <v>127</v>
      </c>
      <c r="B155" s="3">
        <v>120144000000</v>
      </c>
      <c r="C155" t="s">
        <v>660</v>
      </c>
      <c r="D155" t="str">
        <f>IF(ISNUMBER(SEARCH("High",C155)), "High School","")</f>
        <v>High School</v>
      </c>
      <c r="E155">
        <v>1201440</v>
      </c>
      <c r="F155" t="s">
        <v>661</v>
      </c>
      <c r="G155" s="1">
        <v>40646</v>
      </c>
      <c r="H155" t="s">
        <v>628</v>
      </c>
      <c r="I155">
        <v>2011</v>
      </c>
      <c r="J155" s="2">
        <v>0.5</v>
      </c>
      <c r="K155" t="s">
        <v>90</v>
      </c>
      <c r="L155" t="s">
        <v>662</v>
      </c>
      <c r="M155" t="s">
        <v>113</v>
      </c>
      <c r="N155" s="4">
        <v>21781128</v>
      </c>
      <c r="O155" t="s">
        <v>56</v>
      </c>
      <c r="P155">
        <v>465</v>
      </c>
      <c r="Q155">
        <v>0</v>
      </c>
      <c r="R155">
        <v>1</v>
      </c>
      <c r="S155">
        <v>1</v>
      </c>
      <c r="T155" t="s">
        <v>114</v>
      </c>
      <c r="U155">
        <v>17</v>
      </c>
      <c r="V155" t="s">
        <v>58</v>
      </c>
      <c r="W155" t="s">
        <v>146</v>
      </c>
      <c r="Y155">
        <v>0</v>
      </c>
      <c r="AG155">
        <v>104</v>
      </c>
      <c r="AH155">
        <v>250</v>
      </c>
      <c r="AI155">
        <v>101</v>
      </c>
      <c r="AJ155">
        <v>2</v>
      </c>
      <c r="AK155">
        <v>1</v>
      </c>
      <c r="AL155">
        <v>0</v>
      </c>
      <c r="AM155">
        <v>7</v>
      </c>
      <c r="AN155">
        <v>1</v>
      </c>
      <c r="AQ155">
        <v>28.673157</v>
      </c>
      <c r="AR155">
        <v>-81.494123999999999</v>
      </c>
      <c r="AS155">
        <v>7</v>
      </c>
      <c r="AT155">
        <v>9</v>
      </c>
      <c r="AU155">
        <v>12</v>
      </c>
      <c r="AV155">
        <v>183</v>
      </c>
      <c r="AW155" t="s">
        <v>474</v>
      </c>
      <c r="AX155">
        <v>12</v>
      </c>
      <c r="AY155">
        <v>12065</v>
      </c>
      <c r="AZ155">
        <v>21</v>
      </c>
    </row>
    <row r="156" spans="1:52" x14ac:dyDescent="0.3">
      <c r="A156">
        <v>129</v>
      </c>
      <c r="B156" s="3">
        <v>370001000000</v>
      </c>
      <c r="C156" t="s">
        <v>669</v>
      </c>
      <c r="D156" t="str">
        <f>IF(ISNUMBER(SEARCH("High",C156)), "High School","")</f>
        <v>High School</v>
      </c>
      <c r="E156">
        <v>3700011</v>
      </c>
      <c r="F156" t="s">
        <v>670</v>
      </c>
      <c r="G156" s="1">
        <v>40840</v>
      </c>
      <c r="H156" t="s">
        <v>671</v>
      </c>
      <c r="I156">
        <v>2011</v>
      </c>
      <c r="J156" s="2">
        <v>0.54166666666666663</v>
      </c>
      <c r="K156" t="s">
        <v>82</v>
      </c>
      <c r="L156" t="s">
        <v>672</v>
      </c>
      <c r="M156" t="s">
        <v>326</v>
      </c>
      <c r="N156" s="4">
        <v>10551162</v>
      </c>
      <c r="O156" t="s">
        <v>56</v>
      </c>
      <c r="P156">
        <v>1575</v>
      </c>
      <c r="Q156">
        <v>0</v>
      </c>
      <c r="R156">
        <v>1</v>
      </c>
      <c r="S156">
        <v>1</v>
      </c>
      <c r="T156" t="s">
        <v>70</v>
      </c>
      <c r="U156">
        <v>15</v>
      </c>
      <c r="V156" t="s">
        <v>58</v>
      </c>
      <c r="X156" t="s">
        <v>60</v>
      </c>
      <c r="Y156">
        <v>0</v>
      </c>
      <c r="AG156">
        <v>913</v>
      </c>
      <c r="AH156">
        <v>437</v>
      </c>
      <c r="AI156">
        <v>83</v>
      </c>
      <c r="AJ156">
        <v>9</v>
      </c>
      <c r="AK156">
        <v>71</v>
      </c>
      <c r="AL156">
        <v>3</v>
      </c>
      <c r="AM156">
        <v>59</v>
      </c>
      <c r="AN156">
        <v>0</v>
      </c>
      <c r="AO156" t="s">
        <v>673</v>
      </c>
      <c r="AQ156">
        <v>35.034044000000002</v>
      </c>
      <c r="AR156">
        <v>-78.762383999999997</v>
      </c>
      <c r="AS156">
        <v>93.86</v>
      </c>
      <c r="AT156">
        <v>9</v>
      </c>
      <c r="AU156">
        <v>12</v>
      </c>
      <c r="AV156">
        <v>690</v>
      </c>
      <c r="AW156" t="s">
        <v>395</v>
      </c>
      <c r="AX156">
        <v>37</v>
      </c>
      <c r="AY156">
        <v>37051</v>
      </c>
      <c r="AZ156">
        <v>41</v>
      </c>
    </row>
    <row r="157" spans="1:52" x14ac:dyDescent="0.3">
      <c r="A157">
        <v>130</v>
      </c>
      <c r="B157" s="3">
        <v>481168000000</v>
      </c>
      <c r="C157" t="s">
        <v>674</v>
      </c>
      <c r="D157" t="str">
        <f>IF(ISNUMBER(SEARCH("Middle",C157)), "Middle School","")</f>
        <v>Middle School</v>
      </c>
      <c r="E157">
        <v>4811680</v>
      </c>
      <c r="F157" t="s">
        <v>675</v>
      </c>
      <c r="G157" s="1">
        <v>40912</v>
      </c>
      <c r="H157" t="s">
        <v>671</v>
      </c>
      <c r="I157">
        <v>2012</v>
      </c>
      <c r="J157" s="2">
        <v>0.33333333333333331</v>
      </c>
      <c r="K157" t="s">
        <v>90</v>
      </c>
      <c r="L157" t="s">
        <v>676</v>
      </c>
      <c r="M157" t="s">
        <v>205</v>
      </c>
      <c r="N157" s="4">
        <v>29527941</v>
      </c>
      <c r="O157" t="s">
        <v>56</v>
      </c>
      <c r="P157">
        <v>746</v>
      </c>
      <c r="Q157">
        <v>1</v>
      </c>
      <c r="R157">
        <v>0</v>
      </c>
      <c r="S157">
        <v>1</v>
      </c>
      <c r="T157" t="s">
        <v>70</v>
      </c>
      <c r="V157" t="s">
        <v>58</v>
      </c>
      <c r="X157" t="s">
        <v>630</v>
      </c>
      <c r="Y157">
        <v>0</v>
      </c>
      <c r="AG157">
        <v>3</v>
      </c>
      <c r="AH157">
        <v>0</v>
      </c>
      <c r="AI157">
        <v>742</v>
      </c>
      <c r="AJ157">
        <v>0</v>
      </c>
      <c r="AK157">
        <v>1</v>
      </c>
      <c r="AL157">
        <v>0</v>
      </c>
      <c r="AM157">
        <v>0</v>
      </c>
      <c r="AN157">
        <v>0</v>
      </c>
      <c r="AP157" t="s">
        <v>362</v>
      </c>
      <c r="AQ157">
        <v>25.913899000000001</v>
      </c>
      <c r="AR157">
        <v>-97.493734000000003</v>
      </c>
      <c r="AS157">
        <v>49.47</v>
      </c>
      <c r="AT157">
        <v>6</v>
      </c>
      <c r="AU157">
        <v>8</v>
      </c>
      <c r="AV157">
        <v>0</v>
      </c>
      <c r="AW157" t="s">
        <v>528</v>
      </c>
      <c r="AX157">
        <v>48</v>
      </c>
      <c r="AY157">
        <v>48061</v>
      </c>
      <c r="AZ157">
        <v>12</v>
      </c>
    </row>
    <row r="158" spans="1:52" x14ac:dyDescent="0.3">
      <c r="A158">
        <v>131</v>
      </c>
      <c r="B158" s="3">
        <v>483306000000</v>
      </c>
      <c r="C158" t="s">
        <v>677</v>
      </c>
      <c r="D158" t="str">
        <f>IF(ISNUMBER(SEARCH("High",C158)), "High School","")</f>
        <v>High School</v>
      </c>
      <c r="E158">
        <v>4833060</v>
      </c>
      <c r="F158" t="s">
        <v>678</v>
      </c>
      <c r="G158" s="1">
        <v>40918</v>
      </c>
      <c r="H158" t="s">
        <v>671</v>
      </c>
      <c r="I158">
        <v>2012</v>
      </c>
      <c r="J158" s="2">
        <v>0.52083333333333337</v>
      </c>
      <c r="K158" t="s">
        <v>53</v>
      </c>
      <c r="L158" t="s">
        <v>665</v>
      </c>
      <c r="M158" t="s">
        <v>205</v>
      </c>
      <c r="N158" s="4">
        <v>29527941</v>
      </c>
      <c r="O158" t="s">
        <v>56</v>
      </c>
      <c r="P158">
        <v>1274</v>
      </c>
      <c r="Q158">
        <v>0</v>
      </c>
      <c r="R158">
        <v>1</v>
      </c>
      <c r="S158">
        <v>1</v>
      </c>
      <c r="T158" t="s">
        <v>70</v>
      </c>
      <c r="U158">
        <v>18</v>
      </c>
      <c r="V158" t="s">
        <v>58</v>
      </c>
      <c r="X158" t="s">
        <v>60</v>
      </c>
      <c r="Y158">
        <v>0</v>
      </c>
      <c r="AG158">
        <v>8</v>
      </c>
      <c r="AH158">
        <v>868</v>
      </c>
      <c r="AI158">
        <v>395</v>
      </c>
      <c r="AJ158">
        <v>0</v>
      </c>
      <c r="AK158">
        <v>2</v>
      </c>
      <c r="AL158">
        <v>1</v>
      </c>
      <c r="AM158">
        <v>0</v>
      </c>
      <c r="AN158">
        <v>1</v>
      </c>
      <c r="AO158" t="s">
        <v>136</v>
      </c>
      <c r="AQ158">
        <v>29.868787999999999</v>
      </c>
      <c r="AR158">
        <v>-95.262590000000003</v>
      </c>
      <c r="AS158">
        <v>88.68</v>
      </c>
      <c r="AT158">
        <v>9</v>
      </c>
      <c r="AU158">
        <v>12</v>
      </c>
      <c r="AV158">
        <v>1271</v>
      </c>
      <c r="AW158" t="s">
        <v>668</v>
      </c>
      <c r="AX158">
        <v>48</v>
      </c>
      <c r="AY158">
        <v>48201</v>
      </c>
      <c r="AZ158">
        <v>11</v>
      </c>
    </row>
    <row r="159" spans="1:52" x14ac:dyDescent="0.3">
      <c r="A159">
        <v>133</v>
      </c>
      <c r="B159" s="3">
        <v>530066000000</v>
      </c>
      <c r="C159" t="s">
        <v>686</v>
      </c>
      <c r="D159" t="str">
        <f>IF(ISNUMBER(SEARCH("Elementary",C159)), "Elementary School","")</f>
        <v>Elementary School</v>
      </c>
      <c r="E159">
        <v>5300660</v>
      </c>
      <c r="F159" t="s">
        <v>687</v>
      </c>
      <c r="G159" s="1">
        <v>40961</v>
      </c>
      <c r="H159" t="s">
        <v>671</v>
      </c>
      <c r="I159">
        <v>2012</v>
      </c>
      <c r="J159" s="2">
        <v>0.5625</v>
      </c>
      <c r="K159" t="s">
        <v>90</v>
      </c>
      <c r="L159" t="s">
        <v>688</v>
      </c>
      <c r="M159" t="s">
        <v>171</v>
      </c>
      <c r="N159" s="4">
        <v>7738692</v>
      </c>
      <c r="O159" t="s">
        <v>56</v>
      </c>
      <c r="P159">
        <v>411</v>
      </c>
      <c r="Q159">
        <v>0</v>
      </c>
      <c r="R159">
        <v>1</v>
      </c>
      <c r="S159">
        <v>1</v>
      </c>
      <c r="T159" t="s">
        <v>114</v>
      </c>
      <c r="U159">
        <v>9</v>
      </c>
      <c r="V159" t="s">
        <v>58</v>
      </c>
      <c r="W159" t="s">
        <v>59</v>
      </c>
      <c r="X159" t="s">
        <v>60</v>
      </c>
      <c r="Y159">
        <v>0</v>
      </c>
      <c r="AG159">
        <v>193</v>
      </c>
      <c r="AH159">
        <v>24</v>
      </c>
      <c r="AI159">
        <v>69</v>
      </c>
      <c r="AJ159">
        <v>19</v>
      </c>
      <c r="AK159">
        <v>5</v>
      </c>
      <c r="AL159">
        <v>22</v>
      </c>
      <c r="AM159">
        <v>79</v>
      </c>
      <c r="AN159">
        <v>0</v>
      </c>
      <c r="AO159" t="s">
        <v>689</v>
      </c>
      <c r="AP159" t="s">
        <v>600</v>
      </c>
      <c r="AQ159">
        <v>47.593761000000001</v>
      </c>
      <c r="AR159">
        <v>-122.63621999999999</v>
      </c>
      <c r="AS159">
        <v>25.16</v>
      </c>
      <c r="AT159" t="s">
        <v>124</v>
      </c>
      <c r="AU159">
        <v>5</v>
      </c>
      <c r="AV159">
        <v>310</v>
      </c>
      <c r="AW159" t="s">
        <v>690</v>
      </c>
      <c r="AX159">
        <v>53</v>
      </c>
      <c r="AY159">
        <v>53035</v>
      </c>
      <c r="AZ159">
        <v>13</v>
      </c>
    </row>
    <row r="160" spans="1:52" x14ac:dyDescent="0.3">
      <c r="A160">
        <v>135</v>
      </c>
      <c r="B160">
        <v>259508</v>
      </c>
      <c r="C160" t="s">
        <v>698</v>
      </c>
      <c r="D160" t="s">
        <v>1542</v>
      </c>
      <c r="G160" s="1">
        <v>40974</v>
      </c>
      <c r="H160" t="s">
        <v>671</v>
      </c>
      <c r="I160">
        <v>2012</v>
      </c>
      <c r="J160" s="2">
        <v>0.55208333333333337</v>
      </c>
      <c r="K160" t="s">
        <v>53</v>
      </c>
      <c r="L160" t="s">
        <v>404</v>
      </c>
      <c r="M160" t="s">
        <v>113</v>
      </c>
      <c r="N160" s="4">
        <v>21781128</v>
      </c>
      <c r="O160" t="s">
        <v>216</v>
      </c>
      <c r="P160">
        <v>869</v>
      </c>
      <c r="Q160">
        <v>1</v>
      </c>
      <c r="R160">
        <v>0</v>
      </c>
      <c r="S160">
        <v>1</v>
      </c>
      <c r="T160" t="s">
        <v>70</v>
      </c>
      <c r="U160">
        <v>28</v>
      </c>
      <c r="V160" t="s">
        <v>58</v>
      </c>
      <c r="W160" t="s">
        <v>59</v>
      </c>
      <c r="X160" t="s">
        <v>699</v>
      </c>
      <c r="Y160">
        <v>1</v>
      </c>
      <c r="Z160" t="s">
        <v>61</v>
      </c>
      <c r="AG160">
        <v>753</v>
      </c>
      <c r="AH160">
        <v>44</v>
      </c>
      <c r="AI160">
        <v>25</v>
      </c>
      <c r="AJ160">
        <v>5</v>
      </c>
      <c r="AK160">
        <v>3</v>
      </c>
      <c r="AL160">
        <v>0</v>
      </c>
      <c r="AM160">
        <v>39</v>
      </c>
      <c r="AN160">
        <v>0</v>
      </c>
      <c r="AO160" t="s">
        <v>700</v>
      </c>
      <c r="AP160" t="s">
        <v>701</v>
      </c>
      <c r="AQ160">
        <v>30.308617000000002</v>
      </c>
      <c r="AR160">
        <v>-81.617917000000006</v>
      </c>
      <c r="AS160">
        <v>92.8</v>
      </c>
      <c r="AT160">
        <v>6</v>
      </c>
      <c r="AU160">
        <v>12</v>
      </c>
      <c r="AW160" t="s">
        <v>405</v>
      </c>
      <c r="AX160">
        <v>12</v>
      </c>
      <c r="AY160">
        <v>12031</v>
      </c>
      <c r="AZ160">
        <v>11</v>
      </c>
    </row>
    <row r="161" spans="1:52" x14ac:dyDescent="0.3">
      <c r="A161">
        <v>137</v>
      </c>
      <c r="B161" s="3">
        <v>370072000000</v>
      </c>
      <c r="C161" t="s">
        <v>706</v>
      </c>
      <c r="D161" t="str">
        <f>IF(ISNUMBER(SEARCH("Elementary",C161)), "Elementary School","")</f>
        <v>Elementary School</v>
      </c>
      <c r="E161">
        <v>3700720</v>
      </c>
      <c r="F161" t="s">
        <v>707</v>
      </c>
      <c r="G161" s="1">
        <v>41054</v>
      </c>
      <c r="H161" t="s">
        <v>671</v>
      </c>
      <c r="I161">
        <v>2012</v>
      </c>
      <c r="J161" s="2">
        <v>0.58333333333333337</v>
      </c>
      <c r="K161" t="s">
        <v>95</v>
      </c>
      <c r="L161" t="s">
        <v>708</v>
      </c>
      <c r="M161" t="s">
        <v>326</v>
      </c>
      <c r="N161" s="4">
        <v>10551162</v>
      </c>
      <c r="O161" t="s">
        <v>56</v>
      </c>
      <c r="P161">
        <v>614</v>
      </c>
      <c r="Q161">
        <v>1</v>
      </c>
      <c r="R161">
        <v>0</v>
      </c>
      <c r="S161">
        <v>1</v>
      </c>
      <c r="T161" t="s">
        <v>70</v>
      </c>
      <c r="U161">
        <v>49</v>
      </c>
      <c r="V161" t="s">
        <v>58</v>
      </c>
      <c r="X161" t="s">
        <v>709</v>
      </c>
      <c r="Y161">
        <v>0</v>
      </c>
      <c r="AG161">
        <v>325</v>
      </c>
      <c r="AH161">
        <v>32</v>
      </c>
      <c r="AI161">
        <v>106</v>
      </c>
      <c r="AJ161">
        <v>66</v>
      </c>
      <c r="AK161">
        <v>1</v>
      </c>
      <c r="AL161">
        <v>0</v>
      </c>
      <c r="AM161">
        <v>84</v>
      </c>
      <c r="AN161">
        <v>0</v>
      </c>
      <c r="AO161" t="s">
        <v>710</v>
      </c>
      <c r="AQ161">
        <v>35.879122000000002</v>
      </c>
      <c r="AR161">
        <v>-79.068505999999999</v>
      </c>
      <c r="AS161">
        <v>42.73</v>
      </c>
      <c r="AT161" t="s">
        <v>124</v>
      </c>
      <c r="AU161">
        <v>5</v>
      </c>
      <c r="AV161">
        <v>135</v>
      </c>
      <c r="AW161" t="s">
        <v>474</v>
      </c>
      <c r="AX161">
        <v>37</v>
      </c>
      <c r="AY161">
        <v>37135</v>
      </c>
      <c r="AZ161">
        <v>13</v>
      </c>
    </row>
    <row r="162" spans="1:52" x14ac:dyDescent="0.3">
      <c r="A162">
        <v>138</v>
      </c>
      <c r="B162" s="3">
        <v>240012000000</v>
      </c>
      <c r="C162" t="s">
        <v>711</v>
      </c>
      <c r="D162" t="str">
        <f>IF(ISNUMBER(SEARCH("High",C162)), "High School","")</f>
        <v>High School</v>
      </c>
      <c r="E162">
        <v>2400120</v>
      </c>
      <c r="F162" t="s">
        <v>712</v>
      </c>
      <c r="G162" s="1">
        <v>41148</v>
      </c>
      <c r="H162" t="s">
        <v>713</v>
      </c>
      <c r="I162">
        <v>2012</v>
      </c>
      <c r="J162" s="2">
        <v>0.44791666666666669</v>
      </c>
      <c r="K162" t="s">
        <v>82</v>
      </c>
      <c r="L162" t="s">
        <v>197</v>
      </c>
      <c r="M162" t="s">
        <v>198</v>
      </c>
      <c r="N162" s="4">
        <v>6165129</v>
      </c>
      <c r="O162" t="s">
        <v>56</v>
      </c>
      <c r="P162">
        <v>2209</v>
      </c>
      <c r="Q162">
        <v>0</v>
      </c>
      <c r="R162">
        <v>1</v>
      </c>
      <c r="S162">
        <v>1</v>
      </c>
      <c r="T162" t="s">
        <v>57</v>
      </c>
      <c r="U162">
        <v>15</v>
      </c>
      <c r="V162" t="s">
        <v>58</v>
      </c>
      <c r="W162" t="s">
        <v>59</v>
      </c>
      <c r="X162" t="s">
        <v>60</v>
      </c>
      <c r="Y162">
        <v>0</v>
      </c>
      <c r="AG162">
        <v>1361</v>
      </c>
      <c r="AH162">
        <v>508</v>
      </c>
      <c r="AI162">
        <v>79</v>
      </c>
      <c r="AJ162">
        <v>213</v>
      </c>
      <c r="AK162">
        <v>2</v>
      </c>
      <c r="AL162">
        <v>1</v>
      </c>
      <c r="AM162">
        <v>45</v>
      </c>
      <c r="AN162">
        <v>1</v>
      </c>
      <c r="AO162" t="s">
        <v>579</v>
      </c>
      <c r="AQ162">
        <v>39.391860000000001</v>
      </c>
      <c r="AR162">
        <v>-76.466091000000006</v>
      </c>
      <c r="AS162">
        <v>129.6</v>
      </c>
      <c r="AT162">
        <v>9</v>
      </c>
      <c r="AU162">
        <v>12</v>
      </c>
      <c r="AV162">
        <v>550</v>
      </c>
      <c r="AW162" t="s">
        <v>714</v>
      </c>
      <c r="AX162">
        <v>24</v>
      </c>
      <c r="AY162">
        <v>24005</v>
      </c>
      <c r="AZ162">
        <v>21</v>
      </c>
    </row>
    <row r="163" spans="1:52" x14ac:dyDescent="0.3">
      <c r="A163">
        <v>141</v>
      </c>
      <c r="B163" t="s">
        <v>724</v>
      </c>
      <c r="C163" t="s">
        <v>725</v>
      </c>
      <c r="D163" t="s">
        <v>1542</v>
      </c>
      <c r="G163" s="1">
        <v>41281</v>
      </c>
      <c r="H163" t="s">
        <v>713</v>
      </c>
      <c r="I163">
        <v>2013</v>
      </c>
      <c r="J163" s="2">
        <v>0.45833333333333331</v>
      </c>
      <c r="K163" t="s">
        <v>82</v>
      </c>
      <c r="L163" t="s">
        <v>726</v>
      </c>
      <c r="M163" t="s">
        <v>113</v>
      </c>
      <c r="N163" s="4">
        <v>21781128</v>
      </c>
      <c r="O163" t="s">
        <v>216</v>
      </c>
      <c r="P163">
        <v>22</v>
      </c>
      <c r="Q163">
        <v>1</v>
      </c>
      <c r="R163">
        <v>0</v>
      </c>
      <c r="S163">
        <v>1</v>
      </c>
      <c r="T163" t="s">
        <v>70</v>
      </c>
      <c r="Y163">
        <v>0</v>
      </c>
      <c r="AG163">
        <v>0</v>
      </c>
      <c r="AH163">
        <v>22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Q163">
        <v>26.640619999999998</v>
      </c>
      <c r="AR163">
        <v>-81.834211999999994</v>
      </c>
      <c r="AS163">
        <v>3</v>
      </c>
      <c r="AT163" t="s">
        <v>130</v>
      </c>
      <c r="AU163">
        <v>7</v>
      </c>
      <c r="AW163" t="s">
        <v>727</v>
      </c>
      <c r="AX163">
        <v>12</v>
      </c>
      <c r="AY163">
        <v>12071</v>
      </c>
      <c r="AZ163">
        <v>13</v>
      </c>
    </row>
    <row r="164" spans="1:52" x14ac:dyDescent="0.3">
      <c r="A164">
        <v>143</v>
      </c>
      <c r="B164" s="3">
        <v>130012000000</v>
      </c>
      <c r="C164" t="s">
        <v>734</v>
      </c>
      <c r="D164" t="str">
        <f>IF(ISNUMBER(SEARCH("Middle",C164)), "Middle School","")</f>
        <v>Middle School</v>
      </c>
      <c r="E164">
        <v>1300120</v>
      </c>
      <c r="F164" t="s">
        <v>735</v>
      </c>
      <c r="G164" s="1">
        <v>41305</v>
      </c>
      <c r="H164" t="s">
        <v>713</v>
      </c>
      <c r="I164">
        <v>2013</v>
      </c>
      <c r="J164" s="2">
        <v>0.57638888888888895</v>
      </c>
      <c r="K164" t="s">
        <v>67</v>
      </c>
      <c r="L164" t="s">
        <v>736</v>
      </c>
      <c r="M164" t="s">
        <v>77</v>
      </c>
      <c r="N164" s="4">
        <v>10799566</v>
      </c>
      <c r="O164" t="s">
        <v>56</v>
      </c>
      <c r="P164">
        <v>403</v>
      </c>
      <c r="Q164">
        <v>0</v>
      </c>
      <c r="R164">
        <v>1</v>
      </c>
      <c r="S164">
        <v>1</v>
      </c>
      <c r="T164" t="s">
        <v>70</v>
      </c>
      <c r="U164">
        <v>15</v>
      </c>
      <c r="V164" t="s">
        <v>58</v>
      </c>
      <c r="X164" t="s">
        <v>60</v>
      </c>
      <c r="Y164">
        <v>0</v>
      </c>
      <c r="AG164">
        <v>0</v>
      </c>
      <c r="AH164">
        <v>380</v>
      </c>
      <c r="AI164">
        <v>20</v>
      </c>
      <c r="AJ164">
        <v>0</v>
      </c>
      <c r="AK164">
        <v>0</v>
      </c>
      <c r="AL164">
        <v>0</v>
      </c>
      <c r="AM164">
        <v>3</v>
      </c>
      <c r="AN164">
        <v>1</v>
      </c>
      <c r="AO164" t="s">
        <v>737</v>
      </c>
      <c r="AQ164">
        <v>33.708772000000003</v>
      </c>
      <c r="AR164">
        <v>-84.387441999999993</v>
      </c>
      <c r="AS164">
        <v>36</v>
      </c>
      <c r="AT164">
        <v>6</v>
      </c>
      <c r="AU164">
        <v>8</v>
      </c>
      <c r="AV164">
        <v>384</v>
      </c>
      <c r="AW164" t="s">
        <v>738</v>
      </c>
      <c r="AX164">
        <v>13</v>
      </c>
      <c r="AY164">
        <v>13121</v>
      </c>
      <c r="AZ164">
        <v>11</v>
      </c>
    </row>
    <row r="165" spans="1:52" x14ac:dyDescent="0.3">
      <c r="A165">
        <v>145</v>
      </c>
      <c r="B165" s="3">
        <v>120039000000</v>
      </c>
      <c r="C165" t="s">
        <v>742</v>
      </c>
      <c r="D165" t="str">
        <f>IF(ISNUMBER(SEARCH("Middle",C165)), "Middle School","")</f>
        <v>Middle School</v>
      </c>
      <c r="E165">
        <v>1200390</v>
      </c>
      <c r="F165" t="s">
        <v>743</v>
      </c>
      <c r="G165" s="1">
        <v>41417</v>
      </c>
      <c r="H165" t="s">
        <v>713</v>
      </c>
      <c r="I165">
        <v>2013</v>
      </c>
      <c r="K165" t="s">
        <v>67</v>
      </c>
      <c r="L165" t="s">
        <v>744</v>
      </c>
      <c r="M165" t="s">
        <v>113</v>
      </c>
      <c r="N165" s="4">
        <v>21781128</v>
      </c>
      <c r="O165" t="s">
        <v>56</v>
      </c>
      <c r="P165">
        <v>493</v>
      </c>
      <c r="Q165">
        <v>0</v>
      </c>
      <c r="R165">
        <v>1</v>
      </c>
      <c r="S165">
        <v>1</v>
      </c>
      <c r="T165" t="s">
        <v>114</v>
      </c>
      <c r="U165">
        <v>11</v>
      </c>
      <c r="V165" t="s">
        <v>58</v>
      </c>
      <c r="X165" t="s">
        <v>60</v>
      </c>
      <c r="Y165">
        <v>0</v>
      </c>
      <c r="AG165">
        <v>44</v>
      </c>
      <c r="AH165">
        <v>185</v>
      </c>
      <c r="AI165">
        <v>257</v>
      </c>
      <c r="AJ165">
        <v>3</v>
      </c>
      <c r="AK165">
        <v>0</v>
      </c>
      <c r="AL165">
        <v>0</v>
      </c>
      <c r="AM165">
        <v>4</v>
      </c>
      <c r="AN165">
        <v>0</v>
      </c>
      <c r="AO165" t="s">
        <v>745</v>
      </c>
      <c r="AQ165">
        <v>25.536899999999999</v>
      </c>
      <c r="AR165">
        <v>-80.453001</v>
      </c>
      <c r="AS165">
        <v>30</v>
      </c>
      <c r="AT165">
        <v>6</v>
      </c>
      <c r="AU165">
        <v>8</v>
      </c>
      <c r="AV165">
        <v>448</v>
      </c>
      <c r="AW165" t="s">
        <v>746</v>
      </c>
      <c r="AX165">
        <v>12</v>
      </c>
      <c r="AY165">
        <v>12086</v>
      </c>
      <c r="AZ165">
        <v>41</v>
      </c>
    </row>
    <row r="166" spans="1:52" x14ac:dyDescent="0.3">
      <c r="A166">
        <v>147</v>
      </c>
      <c r="B166" s="3">
        <v>370150000000</v>
      </c>
      <c r="C166" t="s">
        <v>754</v>
      </c>
      <c r="D166" t="str">
        <f>IF(ISNUMBER(SEARCH("High",C166)), "High School","")</f>
        <v>High School</v>
      </c>
      <c r="E166">
        <v>3701500</v>
      </c>
      <c r="F166" t="s">
        <v>755</v>
      </c>
      <c r="G166" s="1">
        <v>41516</v>
      </c>
      <c r="H166" t="s">
        <v>749</v>
      </c>
      <c r="I166">
        <v>2013</v>
      </c>
      <c r="J166" s="2">
        <v>0.60069444444444442</v>
      </c>
      <c r="K166" t="s">
        <v>95</v>
      </c>
      <c r="L166" t="s">
        <v>756</v>
      </c>
      <c r="M166" t="s">
        <v>326</v>
      </c>
      <c r="N166" s="4">
        <v>10551162</v>
      </c>
      <c r="O166" t="s">
        <v>56</v>
      </c>
      <c r="P166">
        <v>565</v>
      </c>
      <c r="Q166">
        <v>0</v>
      </c>
      <c r="R166">
        <v>1</v>
      </c>
      <c r="S166">
        <v>1</v>
      </c>
      <c r="T166" t="s">
        <v>70</v>
      </c>
      <c r="U166">
        <v>18</v>
      </c>
      <c r="V166" t="s">
        <v>58</v>
      </c>
      <c r="W166" t="s">
        <v>146</v>
      </c>
      <c r="X166" t="s">
        <v>60</v>
      </c>
      <c r="Y166">
        <v>0</v>
      </c>
      <c r="AG166">
        <v>23</v>
      </c>
      <c r="AH166">
        <v>411</v>
      </c>
      <c r="AI166">
        <v>96</v>
      </c>
      <c r="AJ166">
        <v>4</v>
      </c>
      <c r="AK166">
        <v>2</v>
      </c>
      <c r="AL166">
        <v>1</v>
      </c>
      <c r="AM166">
        <v>28</v>
      </c>
      <c r="AN166">
        <v>1</v>
      </c>
      <c r="AO166" t="s">
        <v>745</v>
      </c>
      <c r="AQ166">
        <v>36.134300000000003</v>
      </c>
      <c r="AR166">
        <v>-80.206599999999995</v>
      </c>
      <c r="AS166">
        <v>43.01</v>
      </c>
      <c r="AT166">
        <v>9</v>
      </c>
      <c r="AU166">
        <v>12</v>
      </c>
      <c r="AV166">
        <v>502</v>
      </c>
      <c r="AW166" t="s">
        <v>757</v>
      </c>
      <c r="AX166">
        <v>37</v>
      </c>
      <c r="AY166">
        <v>37067</v>
      </c>
      <c r="AZ166">
        <v>12</v>
      </c>
    </row>
    <row r="167" spans="1:52" x14ac:dyDescent="0.3">
      <c r="A167">
        <v>152</v>
      </c>
      <c r="B167" s="3">
        <v>120144000000</v>
      </c>
      <c r="C167" t="s">
        <v>776</v>
      </c>
      <c r="D167" t="str">
        <f>IF(ISNUMBER(SEARCH("High",C167)), "High School","")</f>
        <v>High School</v>
      </c>
      <c r="E167">
        <v>1201440</v>
      </c>
      <c r="F167" t="s">
        <v>661</v>
      </c>
      <c r="G167" s="1">
        <v>41612</v>
      </c>
      <c r="H167" t="s">
        <v>749</v>
      </c>
      <c r="I167">
        <v>2013</v>
      </c>
      <c r="J167" s="2">
        <v>0.55208333333333337</v>
      </c>
      <c r="K167" t="s">
        <v>90</v>
      </c>
      <c r="L167" t="s">
        <v>777</v>
      </c>
      <c r="M167" t="s">
        <v>113</v>
      </c>
      <c r="N167" s="4">
        <v>21781128</v>
      </c>
      <c r="O167" t="s">
        <v>56</v>
      </c>
      <c r="P167">
        <v>3749</v>
      </c>
      <c r="Q167">
        <v>0</v>
      </c>
      <c r="R167">
        <v>1</v>
      </c>
      <c r="S167">
        <v>1</v>
      </c>
      <c r="T167" t="s">
        <v>70</v>
      </c>
      <c r="U167">
        <v>17</v>
      </c>
      <c r="V167" t="s">
        <v>58</v>
      </c>
      <c r="W167" t="s">
        <v>146</v>
      </c>
      <c r="X167" t="s">
        <v>60</v>
      </c>
      <c r="Y167">
        <v>0</v>
      </c>
      <c r="AG167">
        <v>1927</v>
      </c>
      <c r="AH167">
        <v>594</v>
      </c>
      <c r="AI167">
        <v>898</v>
      </c>
      <c r="AJ167">
        <v>211</v>
      </c>
      <c r="AK167">
        <v>28</v>
      </c>
      <c r="AL167">
        <v>11</v>
      </c>
      <c r="AM167">
        <v>80</v>
      </c>
      <c r="AN167">
        <v>1</v>
      </c>
      <c r="AQ167">
        <v>28.5428</v>
      </c>
      <c r="AR167">
        <v>-81.567300000000003</v>
      </c>
      <c r="AS167">
        <v>158</v>
      </c>
      <c r="AT167">
        <v>9</v>
      </c>
      <c r="AU167">
        <v>12</v>
      </c>
      <c r="AV167">
        <v>1255</v>
      </c>
      <c r="AW167" t="s">
        <v>474</v>
      </c>
      <c r="AX167">
        <v>12</v>
      </c>
      <c r="AY167">
        <v>12095</v>
      </c>
      <c r="AZ167">
        <v>21</v>
      </c>
    </row>
    <row r="168" spans="1:52" x14ac:dyDescent="0.3">
      <c r="A168">
        <v>153</v>
      </c>
      <c r="B168">
        <v>80531000873</v>
      </c>
      <c r="C168" t="s">
        <v>778</v>
      </c>
      <c r="D168" t="str">
        <f>IF(ISNUMBER(SEARCH("High",C168)), "High School","")</f>
        <v>High School</v>
      </c>
      <c r="E168">
        <v>805310</v>
      </c>
      <c r="F168" t="s">
        <v>779</v>
      </c>
      <c r="G168" s="1">
        <v>41621</v>
      </c>
      <c r="H168" t="s">
        <v>749</v>
      </c>
      <c r="I168">
        <v>2013</v>
      </c>
      <c r="J168" s="2">
        <v>0.52083333333333337</v>
      </c>
      <c r="K168" t="s">
        <v>95</v>
      </c>
      <c r="L168" t="s">
        <v>780</v>
      </c>
      <c r="M168" t="s">
        <v>55</v>
      </c>
      <c r="N168" s="4">
        <v>5812069</v>
      </c>
      <c r="O168" t="s">
        <v>56</v>
      </c>
      <c r="P168">
        <v>2273</v>
      </c>
      <c r="Q168">
        <v>1</v>
      </c>
      <c r="R168">
        <v>0</v>
      </c>
      <c r="S168">
        <v>1</v>
      </c>
      <c r="T168" t="s">
        <v>70</v>
      </c>
      <c r="U168">
        <v>18</v>
      </c>
      <c r="V168" t="s">
        <v>58</v>
      </c>
      <c r="W168" t="s">
        <v>59</v>
      </c>
      <c r="X168" t="s">
        <v>60</v>
      </c>
      <c r="Y168">
        <v>1</v>
      </c>
      <c r="Z168" t="s">
        <v>61</v>
      </c>
      <c r="AG168">
        <v>1879</v>
      </c>
      <c r="AH168">
        <v>26</v>
      </c>
      <c r="AI168">
        <v>225</v>
      </c>
      <c r="AJ168">
        <v>57</v>
      </c>
      <c r="AK168">
        <v>9</v>
      </c>
      <c r="AL168">
        <v>3</v>
      </c>
      <c r="AM168">
        <v>74</v>
      </c>
      <c r="AN168">
        <v>1</v>
      </c>
      <c r="AO168" t="s">
        <v>781</v>
      </c>
      <c r="AP168" t="s">
        <v>782</v>
      </c>
      <c r="AQ168">
        <v>39.581699999999998</v>
      </c>
      <c r="AR168">
        <v>-104.9628</v>
      </c>
      <c r="AS168">
        <v>98.96</v>
      </c>
      <c r="AT168">
        <v>9</v>
      </c>
      <c r="AU168">
        <v>12</v>
      </c>
      <c r="AV168">
        <v>200</v>
      </c>
      <c r="AW168" t="s">
        <v>783</v>
      </c>
      <c r="AX168">
        <v>8</v>
      </c>
      <c r="AY168">
        <v>8005</v>
      </c>
      <c r="AZ168">
        <v>21</v>
      </c>
    </row>
    <row r="169" spans="1:52" x14ac:dyDescent="0.3">
      <c r="A169">
        <v>154</v>
      </c>
      <c r="B169" s="3">
        <v>470258000000</v>
      </c>
      <c r="C169" t="s">
        <v>784</v>
      </c>
      <c r="D169" t="str">
        <f>IF(ISNUMBER(SEARCH("High",C169)), "High School","")</f>
        <v>High School</v>
      </c>
      <c r="E169">
        <v>4702580</v>
      </c>
      <c r="F169" t="s">
        <v>617</v>
      </c>
      <c r="G169" s="1">
        <v>41648</v>
      </c>
      <c r="H169" t="s">
        <v>749</v>
      </c>
      <c r="I169">
        <v>2014</v>
      </c>
      <c r="J169" s="2">
        <v>0.59791666666666665</v>
      </c>
      <c r="K169" t="s">
        <v>67</v>
      </c>
      <c r="L169" t="s">
        <v>365</v>
      </c>
      <c r="M169" t="s">
        <v>377</v>
      </c>
      <c r="N169" s="4">
        <v>6975218</v>
      </c>
      <c r="O169" t="s">
        <v>56</v>
      </c>
      <c r="P169">
        <v>802</v>
      </c>
      <c r="Q169">
        <v>0</v>
      </c>
      <c r="R169">
        <v>1</v>
      </c>
      <c r="S169">
        <v>1</v>
      </c>
      <c r="T169" t="s">
        <v>70</v>
      </c>
      <c r="U169">
        <v>16</v>
      </c>
      <c r="V169" t="s">
        <v>58</v>
      </c>
      <c r="W169" t="s">
        <v>146</v>
      </c>
      <c r="X169" t="s">
        <v>60</v>
      </c>
      <c r="Y169">
        <v>0</v>
      </c>
      <c r="AG169">
        <v>275</v>
      </c>
      <c r="AH169">
        <v>503</v>
      </c>
      <c r="AI169">
        <v>15</v>
      </c>
      <c r="AJ169">
        <v>2</v>
      </c>
      <c r="AK169">
        <v>2</v>
      </c>
      <c r="AL169">
        <v>0</v>
      </c>
      <c r="AM169">
        <v>5</v>
      </c>
      <c r="AN169">
        <v>0</v>
      </c>
      <c r="AO169" t="s">
        <v>136</v>
      </c>
      <c r="AQ169">
        <v>35.674999999999997</v>
      </c>
      <c r="AR169">
        <v>-88.759299999999996</v>
      </c>
      <c r="AS169">
        <v>60.3</v>
      </c>
      <c r="AT169">
        <v>9</v>
      </c>
      <c r="AU169">
        <v>12</v>
      </c>
      <c r="AV169">
        <v>561</v>
      </c>
      <c r="AW169" t="s">
        <v>617</v>
      </c>
      <c r="AX169">
        <v>47</v>
      </c>
      <c r="AY169">
        <v>47113</v>
      </c>
      <c r="AZ169">
        <v>41</v>
      </c>
    </row>
    <row r="170" spans="1:52" x14ac:dyDescent="0.3">
      <c r="A170">
        <v>158</v>
      </c>
      <c r="C170" t="s">
        <v>795</v>
      </c>
      <c r="D170" t="str">
        <f>IF(ISNUMBER(SEARCH("High",C170)), "High School","")</f>
        <v>High School</v>
      </c>
      <c r="E170">
        <v>1708370</v>
      </c>
      <c r="F170" t="s">
        <v>796</v>
      </c>
      <c r="G170" s="1">
        <v>41666</v>
      </c>
      <c r="H170" t="s">
        <v>749</v>
      </c>
      <c r="I170">
        <v>2014</v>
      </c>
      <c r="J170" s="2">
        <v>0.5</v>
      </c>
      <c r="K170" t="s">
        <v>82</v>
      </c>
      <c r="L170" t="s">
        <v>797</v>
      </c>
      <c r="M170" t="s">
        <v>129</v>
      </c>
      <c r="N170" s="4">
        <v>12671469</v>
      </c>
      <c r="O170" t="s">
        <v>56</v>
      </c>
      <c r="P170">
        <v>100</v>
      </c>
      <c r="Q170">
        <v>0</v>
      </c>
      <c r="R170">
        <v>1</v>
      </c>
      <c r="S170">
        <v>1</v>
      </c>
      <c r="T170" t="s">
        <v>70</v>
      </c>
      <c r="U170">
        <v>18</v>
      </c>
      <c r="V170" t="s">
        <v>58</v>
      </c>
      <c r="W170" t="s">
        <v>146</v>
      </c>
      <c r="X170" t="s">
        <v>60</v>
      </c>
      <c r="Y170">
        <v>0</v>
      </c>
      <c r="AN170">
        <v>0</v>
      </c>
      <c r="AO170" t="s">
        <v>136</v>
      </c>
      <c r="AQ170">
        <v>37.727438999999997</v>
      </c>
      <c r="AR170">
        <v>-89.227812</v>
      </c>
      <c r="AT170">
        <v>9</v>
      </c>
      <c r="AU170">
        <v>12</v>
      </c>
      <c r="AW170" t="s">
        <v>798</v>
      </c>
      <c r="AX170">
        <v>17</v>
      </c>
      <c r="AY170">
        <v>17077</v>
      </c>
      <c r="AZ170">
        <v>13</v>
      </c>
    </row>
    <row r="171" spans="1:52" x14ac:dyDescent="0.3">
      <c r="A171">
        <v>159</v>
      </c>
      <c r="B171" s="3">
        <v>150003000000</v>
      </c>
      <c r="C171" t="s">
        <v>799</v>
      </c>
      <c r="D171" t="str">
        <f>IF(ISNUMBER(SEARCH("High",C171)), "High School","")</f>
        <v>High School</v>
      </c>
      <c r="E171">
        <v>1500030</v>
      </c>
      <c r="F171" t="s">
        <v>800</v>
      </c>
      <c r="G171" s="1">
        <v>41667</v>
      </c>
      <c r="H171" t="s">
        <v>749</v>
      </c>
      <c r="I171">
        <v>2014</v>
      </c>
      <c r="J171" s="2">
        <v>0.35416666666666669</v>
      </c>
      <c r="K171" t="s">
        <v>53</v>
      </c>
      <c r="L171" t="s">
        <v>801</v>
      </c>
      <c r="M171" t="s">
        <v>802</v>
      </c>
      <c r="N171" s="4">
        <v>1441553</v>
      </c>
      <c r="O171" t="s">
        <v>56</v>
      </c>
      <c r="P171">
        <v>1416</v>
      </c>
      <c r="Q171">
        <v>0</v>
      </c>
      <c r="R171">
        <v>1</v>
      </c>
      <c r="S171">
        <v>1</v>
      </c>
      <c r="T171" t="s">
        <v>70</v>
      </c>
      <c r="X171" t="s">
        <v>630</v>
      </c>
      <c r="Y171">
        <v>0</v>
      </c>
      <c r="AG171">
        <v>72</v>
      </c>
      <c r="AH171">
        <v>17</v>
      </c>
      <c r="AI171">
        <v>36</v>
      </c>
      <c r="AJ171">
        <v>846</v>
      </c>
      <c r="AK171">
        <v>6</v>
      </c>
      <c r="AL171">
        <v>338</v>
      </c>
      <c r="AM171">
        <v>97</v>
      </c>
      <c r="AN171">
        <v>0</v>
      </c>
      <c r="AP171" t="s">
        <v>362</v>
      </c>
      <c r="AQ171">
        <v>21.310400000000001</v>
      </c>
      <c r="AR171">
        <v>-157.8372</v>
      </c>
      <c r="AS171">
        <v>77</v>
      </c>
      <c r="AT171">
        <v>9</v>
      </c>
      <c r="AU171">
        <v>12</v>
      </c>
      <c r="AV171">
        <v>588</v>
      </c>
      <c r="AW171" t="s">
        <v>803</v>
      </c>
      <c r="AX171">
        <v>15</v>
      </c>
      <c r="AY171">
        <v>15003</v>
      </c>
      <c r="AZ171">
        <v>11</v>
      </c>
    </row>
    <row r="172" spans="1:52" x14ac:dyDescent="0.3">
      <c r="A172">
        <v>161</v>
      </c>
      <c r="B172" s="3">
        <v>370405000000</v>
      </c>
      <c r="C172" t="s">
        <v>809</v>
      </c>
      <c r="D172" t="str">
        <f>IF(ISNUMBER(SEARCH("High",C172)), "High School","")</f>
        <v>High School</v>
      </c>
      <c r="E172">
        <v>3704050</v>
      </c>
      <c r="F172" t="s">
        <v>810</v>
      </c>
      <c r="G172" s="1">
        <v>41680</v>
      </c>
      <c r="H172" t="s">
        <v>749</v>
      </c>
      <c r="I172">
        <v>2014</v>
      </c>
      <c r="J172" s="2">
        <v>0.6118055555555556</v>
      </c>
      <c r="K172" t="s">
        <v>82</v>
      </c>
      <c r="L172" t="s">
        <v>811</v>
      </c>
      <c r="M172" t="s">
        <v>326</v>
      </c>
      <c r="N172" s="4">
        <v>10551162</v>
      </c>
      <c r="O172" t="s">
        <v>56</v>
      </c>
      <c r="P172">
        <v>858</v>
      </c>
      <c r="Q172">
        <v>0</v>
      </c>
      <c r="R172">
        <v>1</v>
      </c>
      <c r="S172">
        <v>1</v>
      </c>
      <c r="T172" t="s">
        <v>70</v>
      </c>
      <c r="U172">
        <v>17</v>
      </c>
      <c r="V172" t="s">
        <v>58</v>
      </c>
      <c r="W172" t="s">
        <v>146</v>
      </c>
      <c r="Y172">
        <v>0</v>
      </c>
      <c r="AG172">
        <v>274</v>
      </c>
      <c r="AH172">
        <v>399</v>
      </c>
      <c r="AI172">
        <v>140</v>
      </c>
      <c r="AJ172">
        <v>22</v>
      </c>
      <c r="AK172">
        <v>5</v>
      </c>
      <c r="AL172">
        <v>0</v>
      </c>
      <c r="AM172">
        <v>18</v>
      </c>
      <c r="AN172">
        <v>1</v>
      </c>
      <c r="AO172" t="s">
        <v>812</v>
      </c>
      <c r="AQ172">
        <v>35.6648</v>
      </c>
      <c r="AR172">
        <v>-80.484899999999996</v>
      </c>
      <c r="AS172">
        <v>54.53</v>
      </c>
      <c r="AT172">
        <v>9</v>
      </c>
      <c r="AU172">
        <v>12</v>
      </c>
      <c r="AV172">
        <v>577</v>
      </c>
      <c r="AW172" t="s">
        <v>813</v>
      </c>
      <c r="AX172">
        <v>37</v>
      </c>
      <c r="AY172">
        <v>37159</v>
      </c>
      <c r="AZ172">
        <v>22</v>
      </c>
    </row>
    <row r="173" spans="1:52" x14ac:dyDescent="0.3">
      <c r="A173">
        <v>162</v>
      </c>
      <c r="B173" s="3">
        <v>291640000000</v>
      </c>
      <c r="C173" t="s">
        <v>814</v>
      </c>
      <c r="D173" t="s">
        <v>1542</v>
      </c>
      <c r="E173">
        <v>2916400</v>
      </c>
      <c r="F173" t="s">
        <v>815</v>
      </c>
      <c r="G173" s="1">
        <v>41690</v>
      </c>
      <c r="H173" t="s">
        <v>749</v>
      </c>
      <c r="I173">
        <v>2014</v>
      </c>
      <c r="J173" s="2">
        <v>0.4375</v>
      </c>
      <c r="K173" t="s">
        <v>67</v>
      </c>
      <c r="L173" t="s">
        <v>816</v>
      </c>
      <c r="M173" t="s">
        <v>281</v>
      </c>
      <c r="N173" s="4">
        <v>6168187</v>
      </c>
      <c r="O173" t="s">
        <v>56</v>
      </c>
      <c r="P173">
        <v>175</v>
      </c>
      <c r="Q173">
        <v>1</v>
      </c>
      <c r="R173">
        <v>0</v>
      </c>
      <c r="S173">
        <v>1</v>
      </c>
      <c r="T173" t="s">
        <v>70</v>
      </c>
      <c r="U173">
        <v>42</v>
      </c>
      <c r="V173" t="s">
        <v>58</v>
      </c>
      <c r="W173" t="s">
        <v>146</v>
      </c>
      <c r="X173" t="s">
        <v>817</v>
      </c>
      <c r="Y173">
        <v>0</v>
      </c>
      <c r="AN173">
        <v>0</v>
      </c>
      <c r="AO173" t="s">
        <v>818</v>
      </c>
      <c r="AP173" t="s">
        <v>819</v>
      </c>
      <c r="AQ173">
        <v>39.094000000000001</v>
      </c>
      <c r="AR173">
        <v>-94.568799999999996</v>
      </c>
      <c r="AS173">
        <v>28.4</v>
      </c>
      <c r="AT173" t="s">
        <v>124</v>
      </c>
      <c r="AU173">
        <v>12</v>
      </c>
      <c r="AW173" t="s">
        <v>798</v>
      </c>
      <c r="AX173">
        <v>29</v>
      </c>
      <c r="AY173">
        <v>29095</v>
      </c>
      <c r="AZ173">
        <v>11</v>
      </c>
    </row>
    <row r="174" spans="1:52" x14ac:dyDescent="0.3">
      <c r="A174">
        <v>166</v>
      </c>
      <c r="B174" s="3">
        <v>120039000000</v>
      </c>
      <c r="C174" t="s">
        <v>832</v>
      </c>
      <c r="D174" t="s">
        <v>1539</v>
      </c>
      <c r="E174">
        <v>1200390</v>
      </c>
      <c r="F174" t="s">
        <v>743</v>
      </c>
      <c r="G174" s="1">
        <v>41891</v>
      </c>
      <c r="H174" t="s">
        <v>833</v>
      </c>
      <c r="I174">
        <v>2014</v>
      </c>
      <c r="K174" t="s">
        <v>53</v>
      </c>
      <c r="L174" t="s">
        <v>834</v>
      </c>
      <c r="M174" t="s">
        <v>113</v>
      </c>
      <c r="N174" s="4">
        <v>21781128</v>
      </c>
      <c r="O174" t="s">
        <v>56</v>
      </c>
      <c r="P174">
        <v>233</v>
      </c>
      <c r="Q174">
        <v>0</v>
      </c>
      <c r="R174">
        <v>1</v>
      </c>
      <c r="S174">
        <v>1</v>
      </c>
      <c r="T174" t="s">
        <v>70</v>
      </c>
      <c r="Y174">
        <v>0</v>
      </c>
      <c r="AG174">
        <v>0</v>
      </c>
      <c r="AH174">
        <v>204</v>
      </c>
      <c r="AI174">
        <v>29</v>
      </c>
      <c r="AJ174">
        <v>0</v>
      </c>
      <c r="AK174">
        <v>0</v>
      </c>
      <c r="AL174">
        <v>0</v>
      </c>
      <c r="AM174">
        <v>0</v>
      </c>
      <c r="AN174">
        <v>0</v>
      </c>
      <c r="AQ174">
        <v>25.848140000000001</v>
      </c>
      <c r="AR174">
        <v>-80.243460999999996</v>
      </c>
      <c r="AS174">
        <v>13</v>
      </c>
      <c r="AT174">
        <v>9</v>
      </c>
      <c r="AU174">
        <v>12</v>
      </c>
      <c r="AV174">
        <v>62</v>
      </c>
      <c r="AW174" t="s">
        <v>746</v>
      </c>
      <c r="AX174">
        <v>12</v>
      </c>
      <c r="AY174">
        <v>12086</v>
      </c>
      <c r="AZ174">
        <v>21</v>
      </c>
    </row>
    <row r="175" spans="1:52" x14ac:dyDescent="0.3">
      <c r="A175">
        <v>167</v>
      </c>
      <c r="B175" s="3">
        <v>210299000000</v>
      </c>
      <c r="C175" t="s">
        <v>835</v>
      </c>
      <c r="D175" t="str">
        <f>IF(ISNUMBER(SEARCH("High",C175)), "High School","")</f>
        <v>High School</v>
      </c>
      <c r="E175">
        <v>2102990</v>
      </c>
      <c r="F175" t="s">
        <v>64</v>
      </c>
      <c r="G175" s="1">
        <v>41912</v>
      </c>
      <c r="H175" t="s">
        <v>833</v>
      </c>
      <c r="I175">
        <v>2014</v>
      </c>
      <c r="J175" s="2">
        <v>0.54166666666666663</v>
      </c>
      <c r="K175" t="s">
        <v>53</v>
      </c>
      <c r="L175" t="s">
        <v>836</v>
      </c>
      <c r="M175" t="s">
        <v>248</v>
      </c>
      <c r="N175" s="4">
        <v>4509394</v>
      </c>
      <c r="O175" t="s">
        <v>56</v>
      </c>
      <c r="P175">
        <v>1545</v>
      </c>
      <c r="Q175">
        <v>0</v>
      </c>
      <c r="R175">
        <v>1</v>
      </c>
      <c r="S175">
        <v>1</v>
      </c>
      <c r="T175" t="s">
        <v>70</v>
      </c>
      <c r="U175">
        <v>16</v>
      </c>
      <c r="V175" t="s">
        <v>58</v>
      </c>
      <c r="W175" t="s">
        <v>146</v>
      </c>
      <c r="X175" t="s">
        <v>60</v>
      </c>
      <c r="Y175">
        <v>0</v>
      </c>
      <c r="AG175">
        <v>716</v>
      </c>
      <c r="AH175">
        <v>577</v>
      </c>
      <c r="AI175">
        <v>136</v>
      </c>
      <c r="AJ175">
        <v>73</v>
      </c>
      <c r="AK175">
        <v>1</v>
      </c>
      <c r="AL175">
        <v>1</v>
      </c>
      <c r="AM175">
        <v>41</v>
      </c>
      <c r="AN175">
        <v>1</v>
      </c>
      <c r="AO175" t="s">
        <v>136</v>
      </c>
      <c r="AQ175">
        <v>38.156604999999999</v>
      </c>
      <c r="AR175">
        <v>-85.592357000000007</v>
      </c>
      <c r="AS175">
        <v>82.9</v>
      </c>
      <c r="AT175">
        <v>9</v>
      </c>
      <c r="AU175">
        <v>12</v>
      </c>
      <c r="AV175">
        <v>930</v>
      </c>
      <c r="AW175" t="s">
        <v>64</v>
      </c>
      <c r="AX175">
        <v>21</v>
      </c>
      <c r="AY175">
        <v>21111</v>
      </c>
      <c r="AZ175">
        <v>11</v>
      </c>
    </row>
    <row r="176" spans="1:52" x14ac:dyDescent="0.3">
      <c r="A176">
        <v>168</v>
      </c>
      <c r="B176" s="3">
        <v>370432000000</v>
      </c>
      <c r="C176" t="s">
        <v>837</v>
      </c>
      <c r="D176" t="str">
        <f>IF(ISNUMBER(SEARCH("High",C176)), "High School","")</f>
        <v>High School</v>
      </c>
      <c r="E176">
        <v>3704320</v>
      </c>
      <c r="F176" t="s">
        <v>838</v>
      </c>
      <c r="G176" s="1">
        <v>41912</v>
      </c>
      <c r="H176" t="s">
        <v>833</v>
      </c>
      <c r="I176">
        <v>2014</v>
      </c>
      <c r="J176" s="2">
        <v>0.31944444444444448</v>
      </c>
      <c r="K176" t="s">
        <v>53</v>
      </c>
      <c r="L176" t="s">
        <v>839</v>
      </c>
      <c r="M176" t="s">
        <v>326</v>
      </c>
      <c r="N176" s="4">
        <v>10551162</v>
      </c>
      <c r="O176" t="s">
        <v>56</v>
      </c>
      <c r="P176">
        <v>464</v>
      </c>
      <c r="Q176">
        <v>0</v>
      </c>
      <c r="R176">
        <v>1</v>
      </c>
      <c r="S176">
        <v>1</v>
      </c>
      <c r="T176" t="s">
        <v>70</v>
      </c>
      <c r="U176">
        <v>15</v>
      </c>
      <c r="V176" t="s">
        <v>58</v>
      </c>
      <c r="X176" t="s">
        <v>60</v>
      </c>
      <c r="Y176">
        <v>0</v>
      </c>
      <c r="AG176">
        <v>199</v>
      </c>
      <c r="AH176">
        <v>180</v>
      </c>
      <c r="AI176">
        <v>30</v>
      </c>
      <c r="AJ176">
        <v>23</v>
      </c>
      <c r="AK176">
        <v>3</v>
      </c>
      <c r="AL176">
        <v>0</v>
      </c>
      <c r="AM176">
        <v>29</v>
      </c>
      <c r="AN176">
        <v>1</v>
      </c>
      <c r="AO176" t="s">
        <v>136</v>
      </c>
      <c r="AQ176">
        <v>35.371268000000001</v>
      </c>
      <c r="AR176">
        <v>-80.193151999999998</v>
      </c>
      <c r="AS176">
        <v>34.659999999999997</v>
      </c>
      <c r="AT176">
        <v>9</v>
      </c>
      <c r="AU176">
        <v>12</v>
      </c>
      <c r="AV176">
        <v>327</v>
      </c>
      <c r="AW176" t="s">
        <v>840</v>
      </c>
      <c r="AX176">
        <v>37</v>
      </c>
      <c r="AY176">
        <v>37167</v>
      </c>
      <c r="AZ176">
        <v>32</v>
      </c>
    </row>
    <row r="177" spans="1:52" x14ac:dyDescent="0.3">
      <c r="A177">
        <v>172</v>
      </c>
      <c r="B177" s="3">
        <v>130438000000</v>
      </c>
      <c r="C177" t="s">
        <v>856</v>
      </c>
      <c r="D177" t="str">
        <f>IF(ISNUMBER(SEARCH("Elementary",C177)), "Elementary School","")</f>
        <v>Elementary School</v>
      </c>
      <c r="E177">
        <v>1304380</v>
      </c>
      <c r="F177" t="s">
        <v>857</v>
      </c>
      <c r="G177" s="1">
        <v>42241</v>
      </c>
      <c r="H177" t="s">
        <v>858</v>
      </c>
      <c r="I177">
        <v>2015</v>
      </c>
      <c r="J177" s="2">
        <v>0.44791666666666669</v>
      </c>
      <c r="K177" t="s">
        <v>53</v>
      </c>
      <c r="L177" t="s">
        <v>859</v>
      </c>
      <c r="M177" t="s">
        <v>77</v>
      </c>
      <c r="N177" s="4">
        <v>10799566</v>
      </c>
      <c r="O177" t="s">
        <v>56</v>
      </c>
      <c r="P177">
        <v>742</v>
      </c>
      <c r="Q177">
        <v>0</v>
      </c>
      <c r="R177">
        <v>1</v>
      </c>
      <c r="S177">
        <v>1</v>
      </c>
      <c r="T177" t="s">
        <v>114</v>
      </c>
      <c r="V177" t="s">
        <v>58</v>
      </c>
      <c r="X177" t="s">
        <v>60</v>
      </c>
      <c r="Y177">
        <v>0</v>
      </c>
      <c r="AG177">
        <v>12</v>
      </c>
      <c r="AH177">
        <v>717</v>
      </c>
      <c r="AI177">
        <v>3</v>
      </c>
      <c r="AJ177">
        <v>0</v>
      </c>
      <c r="AK177">
        <v>0</v>
      </c>
      <c r="AL177">
        <v>2</v>
      </c>
      <c r="AM177">
        <v>8</v>
      </c>
      <c r="AN177">
        <v>1</v>
      </c>
      <c r="AO177" t="s">
        <v>860</v>
      </c>
      <c r="AP177" t="s">
        <v>861</v>
      </c>
      <c r="AQ177">
        <v>33.459564</v>
      </c>
      <c r="AR177">
        <v>-81.937991999999994</v>
      </c>
      <c r="AT177" t="s">
        <v>130</v>
      </c>
      <c r="AU177">
        <v>5</v>
      </c>
      <c r="AW177" t="s">
        <v>857</v>
      </c>
      <c r="AX177">
        <v>13</v>
      </c>
      <c r="AY177">
        <v>13245</v>
      </c>
      <c r="AZ177">
        <v>12</v>
      </c>
    </row>
    <row r="178" spans="1:52" x14ac:dyDescent="0.3">
      <c r="A178">
        <v>173</v>
      </c>
      <c r="B178" s="3">
        <v>463135000000</v>
      </c>
      <c r="C178" t="s">
        <v>862</v>
      </c>
      <c r="D178" t="str">
        <f>IF(ISNUMBER(SEARCH("High",C178)), "High School","")</f>
        <v>High School</v>
      </c>
      <c r="E178">
        <v>4631350</v>
      </c>
      <c r="F178" t="s">
        <v>863</v>
      </c>
      <c r="G178" s="1">
        <v>42277</v>
      </c>
      <c r="H178" t="s">
        <v>858</v>
      </c>
      <c r="I178">
        <v>2015</v>
      </c>
      <c r="J178" s="2">
        <v>0.41666666666666669</v>
      </c>
      <c r="K178" t="s">
        <v>90</v>
      </c>
      <c r="L178" t="s">
        <v>864</v>
      </c>
      <c r="M178" t="s">
        <v>865</v>
      </c>
      <c r="N178" s="4">
        <v>895376</v>
      </c>
      <c r="O178" t="s">
        <v>56</v>
      </c>
      <c r="P178">
        <v>802</v>
      </c>
      <c r="Q178">
        <v>0</v>
      </c>
      <c r="R178">
        <v>1</v>
      </c>
      <c r="S178">
        <v>1</v>
      </c>
      <c r="T178" t="s">
        <v>70</v>
      </c>
      <c r="U178">
        <v>16</v>
      </c>
      <c r="V178" t="s">
        <v>58</v>
      </c>
      <c r="W178" t="s">
        <v>59</v>
      </c>
      <c r="X178" t="s">
        <v>60</v>
      </c>
      <c r="Y178">
        <v>0</v>
      </c>
      <c r="AG178">
        <v>738</v>
      </c>
      <c r="AH178">
        <v>12</v>
      </c>
      <c r="AI178">
        <v>17</v>
      </c>
      <c r="AJ178">
        <v>9</v>
      </c>
      <c r="AK178">
        <v>10</v>
      </c>
      <c r="AL178">
        <v>0</v>
      </c>
      <c r="AM178">
        <v>16</v>
      </c>
      <c r="AN178">
        <v>0</v>
      </c>
      <c r="AO178" t="s">
        <v>136</v>
      </c>
      <c r="AQ178">
        <v>43.432119999999998</v>
      </c>
      <c r="AR178">
        <v>-96.699799999999996</v>
      </c>
      <c r="AS178">
        <v>64.2</v>
      </c>
      <c r="AT178">
        <v>9</v>
      </c>
      <c r="AU178">
        <v>12</v>
      </c>
      <c r="AV178">
        <v>117</v>
      </c>
      <c r="AW178" t="s">
        <v>866</v>
      </c>
      <c r="AX178">
        <v>46</v>
      </c>
      <c r="AY178">
        <v>46083</v>
      </c>
      <c r="AZ178">
        <v>41</v>
      </c>
    </row>
    <row r="179" spans="1:52" x14ac:dyDescent="0.3">
      <c r="A179">
        <v>177</v>
      </c>
      <c r="B179">
        <v>50729000443</v>
      </c>
      <c r="C179" t="s">
        <v>881</v>
      </c>
      <c r="D179" t="str">
        <f>IF(ISNUMBER(SEARCH("High",C179)), "High School","")</f>
        <v>High School</v>
      </c>
      <c r="E179">
        <v>507290</v>
      </c>
      <c r="F179" t="s">
        <v>882</v>
      </c>
      <c r="G179" s="1">
        <v>42382</v>
      </c>
      <c r="H179" t="s">
        <v>858</v>
      </c>
      <c r="I179">
        <v>2016</v>
      </c>
      <c r="J179" s="2">
        <v>0.625</v>
      </c>
      <c r="K179" t="s">
        <v>90</v>
      </c>
      <c r="L179" t="s">
        <v>883</v>
      </c>
      <c r="M179" t="s">
        <v>884</v>
      </c>
      <c r="N179" s="4">
        <v>3025891</v>
      </c>
      <c r="O179" t="s">
        <v>56</v>
      </c>
      <c r="P179">
        <v>393</v>
      </c>
      <c r="Q179">
        <v>0</v>
      </c>
      <c r="R179">
        <v>1</v>
      </c>
      <c r="S179">
        <v>1</v>
      </c>
      <c r="T179" t="s">
        <v>114</v>
      </c>
      <c r="U179">
        <v>17</v>
      </c>
      <c r="V179" t="s">
        <v>58</v>
      </c>
      <c r="X179" t="s">
        <v>60</v>
      </c>
      <c r="Y179">
        <v>0</v>
      </c>
      <c r="AG179">
        <v>294</v>
      </c>
      <c r="AH179">
        <v>69</v>
      </c>
      <c r="AI179">
        <v>20</v>
      </c>
      <c r="AJ179">
        <v>3</v>
      </c>
      <c r="AK179">
        <v>0</v>
      </c>
      <c r="AL179">
        <v>1</v>
      </c>
      <c r="AM179">
        <v>6</v>
      </c>
      <c r="AN179">
        <v>0</v>
      </c>
      <c r="AO179" t="s">
        <v>226</v>
      </c>
      <c r="AQ179">
        <v>33.651400000000002</v>
      </c>
      <c r="AR179">
        <v>-92.779600000000002</v>
      </c>
      <c r="AS179">
        <v>47.17</v>
      </c>
      <c r="AT179">
        <v>7</v>
      </c>
      <c r="AU179">
        <v>12</v>
      </c>
      <c r="AV179">
        <v>195</v>
      </c>
      <c r="AW179" t="s">
        <v>885</v>
      </c>
      <c r="AX179">
        <v>5</v>
      </c>
      <c r="AY179">
        <v>5103</v>
      </c>
      <c r="AZ179">
        <v>42</v>
      </c>
    </row>
    <row r="180" spans="1:52" x14ac:dyDescent="0.3">
      <c r="A180">
        <v>179</v>
      </c>
      <c r="B180">
        <v>40345000284</v>
      </c>
      <c r="C180" t="s">
        <v>887</v>
      </c>
      <c r="D180" t="str">
        <f>IF(ISNUMBER(SEARCH("High",C180)), "High School","")</f>
        <v>High School</v>
      </c>
      <c r="E180">
        <v>403450</v>
      </c>
      <c r="F180" t="s">
        <v>888</v>
      </c>
      <c r="G180" s="1">
        <v>42412</v>
      </c>
      <c r="H180" t="s">
        <v>858</v>
      </c>
      <c r="I180">
        <v>2016</v>
      </c>
      <c r="J180" s="2">
        <v>0.32847222222222222</v>
      </c>
      <c r="K180" t="s">
        <v>95</v>
      </c>
      <c r="L180" t="s">
        <v>889</v>
      </c>
      <c r="M180" t="s">
        <v>160</v>
      </c>
      <c r="N180" s="4">
        <v>7276316</v>
      </c>
      <c r="O180" t="s">
        <v>56</v>
      </c>
      <c r="P180">
        <v>2114</v>
      </c>
      <c r="Q180">
        <v>1</v>
      </c>
      <c r="R180">
        <v>0</v>
      </c>
      <c r="S180">
        <v>1</v>
      </c>
      <c r="T180" t="s">
        <v>70</v>
      </c>
      <c r="U180">
        <v>15</v>
      </c>
      <c r="V180" t="s">
        <v>152</v>
      </c>
      <c r="X180" t="s">
        <v>60</v>
      </c>
      <c r="Y180">
        <v>1</v>
      </c>
      <c r="Z180" t="s">
        <v>61</v>
      </c>
      <c r="AG180">
        <v>247</v>
      </c>
      <c r="AH180">
        <v>190</v>
      </c>
      <c r="AI180">
        <v>1535</v>
      </c>
      <c r="AJ180">
        <v>42</v>
      </c>
      <c r="AK180">
        <v>29</v>
      </c>
      <c r="AL180">
        <v>3</v>
      </c>
      <c r="AM180">
        <v>68</v>
      </c>
      <c r="AN180">
        <v>0</v>
      </c>
      <c r="AO180" t="s">
        <v>890</v>
      </c>
      <c r="AP180" t="s">
        <v>891</v>
      </c>
      <c r="AQ180">
        <v>33.532159999999998</v>
      </c>
      <c r="AR180">
        <v>-112.221</v>
      </c>
      <c r="AS180">
        <v>89.6</v>
      </c>
      <c r="AT180">
        <v>9</v>
      </c>
      <c r="AU180">
        <v>12</v>
      </c>
      <c r="AV180">
        <v>1584</v>
      </c>
      <c r="AW180" t="s">
        <v>892</v>
      </c>
      <c r="AX180">
        <v>4</v>
      </c>
      <c r="AY180">
        <v>4013</v>
      </c>
      <c r="AZ180">
        <v>21</v>
      </c>
    </row>
    <row r="181" spans="1:52" x14ac:dyDescent="0.3">
      <c r="A181">
        <v>181</v>
      </c>
      <c r="B181">
        <v>10039000141</v>
      </c>
      <c r="C181" t="s">
        <v>899</v>
      </c>
      <c r="D181" t="str">
        <f>IF(ISNUMBER(SEARCH("High",C181)), "High School","")</f>
        <v>High School</v>
      </c>
      <c r="E181">
        <v>100390</v>
      </c>
      <c r="F181" t="s">
        <v>900</v>
      </c>
      <c r="G181" s="1">
        <v>42444</v>
      </c>
      <c r="H181" t="s">
        <v>858</v>
      </c>
      <c r="I181">
        <v>2016</v>
      </c>
      <c r="J181" s="2">
        <v>0.60416666666666663</v>
      </c>
      <c r="K181" t="s">
        <v>53</v>
      </c>
      <c r="L181" t="s">
        <v>901</v>
      </c>
      <c r="M181" t="s">
        <v>614</v>
      </c>
      <c r="N181" s="4">
        <v>5039877</v>
      </c>
      <c r="O181" t="s">
        <v>56</v>
      </c>
      <c r="P181">
        <v>1433</v>
      </c>
      <c r="Q181">
        <v>0</v>
      </c>
      <c r="R181">
        <v>1</v>
      </c>
      <c r="S181">
        <v>1</v>
      </c>
      <c r="T181" t="s">
        <v>70</v>
      </c>
      <c r="U181">
        <v>19</v>
      </c>
      <c r="V181" t="s">
        <v>58</v>
      </c>
      <c r="W181" t="s">
        <v>146</v>
      </c>
      <c r="X181" t="s">
        <v>902</v>
      </c>
      <c r="Y181">
        <v>0</v>
      </c>
      <c r="AG181">
        <v>13</v>
      </c>
      <c r="AH181">
        <v>1341</v>
      </c>
      <c r="AI181">
        <v>63</v>
      </c>
      <c r="AJ181">
        <v>2</v>
      </c>
      <c r="AK181">
        <v>6</v>
      </c>
      <c r="AL181">
        <v>0</v>
      </c>
      <c r="AM181">
        <v>8</v>
      </c>
      <c r="AN181">
        <v>1</v>
      </c>
      <c r="AQ181">
        <v>33.612909999999999</v>
      </c>
      <c r="AR181">
        <v>-86.682000000000002</v>
      </c>
      <c r="AS181">
        <v>66</v>
      </c>
      <c r="AT181">
        <v>9</v>
      </c>
      <c r="AU181">
        <v>12</v>
      </c>
      <c r="AV181">
        <v>775</v>
      </c>
      <c r="AW181" t="s">
        <v>64</v>
      </c>
      <c r="AX181">
        <v>1</v>
      </c>
      <c r="AY181">
        <v>1073</v>
      </c>
      <c r="AZ181">
        <v>12</v>
      </c>
    </row>
    <row r="182" spans="1:52" x14ac:dyDescent="0.3">
      <c r="A182">
        <v>182</v>
      </c>
      <c r="B182" s="3">
        <v>480795000000</v>
      </c>
      <c r="C182" t="s">
        <v>903</v>
      </c>
      <c r="D182" t="str">
        <f>IF(ISNUMBER(SEARCH("High",C182)), "High School","")</f>
        <v>High School</v>
      </c>
      <c r="E182">
        <v>4807950</v>
      </c>
      <c r="F182" t="s">
        <v>904</v>
      </c>
      <c r="G182" s="1">
        <v>42621</v>
      </c>
      <c r="H182" t="s">
        <v>905</v>
      </c>
      <c r="I182">
        <v>2016</v>
      </c>
      <c r="J182" s="2">
        <v>0.375</v>
      </c>
      <c r="K182" t="s">
        <v>67</v>
      </c>
      <c r="L182" t="s">
        <v>906</v>
      </c>
      <c r="M182" t="s">
        <v>205</v>
      </c>
      <c r="N182" s="4">
        <v>29527941</v>
      </c>
      <c r="O182" t="s">
        <v>56</v>
      </c>
      <c r="P182">
        <v>292</v>
      </c>
      <c r="Q182">
        <v>0</v>
      </c>
      <c r="R182">
        <v>1</v>
      </c>
      <c r="S182">
        <v>1</v>
      </c>
      <c r="T182" t="s">
        <v>70</v>
      </c>
      <c r="U182">
        <v>14</v>
      </c>
      <c r="V182" t="s">
        <v>152</v>
      </c>
      <c r="X182" t="s">
        <v>60</v>
      </c>
      <c r="Y182">
        <v>1</v>
      </c>
      <c r="Z182" t="s">
        <v>61</v>
      </c>
      <c r="AG182">
        <v>97</v>
      </c>
      <c r="AH182">
        <v>2</v>
      </c>
      <c r="AI182">
        <v>190</v>
      </c>
      <c r="AJ182">
        <v>1</v>
      </c>
      <c r="AK182">
        <v>0</v>
      </c>
      <c r="AL182">
        <v>1</v>
      </c>
      <c r="AM182">
        <v>1</v>
      </c>
      <c r="AN182">
        <v>0</v>
      </c>
      <c r="AO182" t="s">
        <v>907</v>
      </c>
      <c r="AQ182">
        <v>30.371983</v>
      </c>
      <c r="AR182">
        <v>-103.665798</v>
      </c>
      <c r="AS182">
        <v>31.32</v>
      </c>
      <c r="AT182">
        <v>9</v>
      </c>
      <c r="AU182">
        <v>12</v>
      </c>
      <c r="AV182">
        <v>111</v>
      </c>
      <c r="AW182" t="s">
        <v>908</v>
      </c>
      <c r="AX182">
        <v>48</v>
      </c>
      <c r="AY182">
        <v>48043</v>
      </c>
      <c r="AZ182">
        <v>33</v>
      </c>
    </row>
    <row r="183" spans="1:52" x14ac:dyDescent="0.3">
      <c r="A183">
        <v>184</v>
      </c>
      <c r="B183">
        <v>10237000964</v>
      </c>
      <c r="C183" t="s">
        <v>914</v>
      </c>
      <c r="D183" t="str">
        <f>IF(ISNUMBER(SEARCH("High",C183)), "High School","")</f>
        <v>High School</v>
      </c>
      <c r="E183">
        <v>102370</v>
      </c>
      <c r="F183" t="s">
        <v>703</v>
      </c>
      <c r="G183" s="1">
        <v>42654</v>
      </c>
      <c r="H183" t="s">
        <v>905</v>
      </c>
      <c r="I183">
        <v>2016</v>
      </c>
      <c r="J183" s="2">
        <v>0.65625</v>
      </c>
      <c r="K183" t="s">
        <v>53</v>
      </c>
      <c r="L183" t="s">
        <v>915</v>
      </c>
      <c r="M183" t="s">
        <v>614</v>
      </c>
      <c r="N183" s="4">
        <v>5039877</v>
      </c>
      <c r="O183" t="s">
        <v>56</v>
      </c>
      <c r="P183">
        <v>710</v>
      </c>
      <c r="Q183">
        <v>0</v>
      </c>
      <c r="R183">
        <v>1</v>
      </c>
      <c r="S183">
        <v>1</v>
      </c>
      <c r="T183" t="s">
        <v>70</v>
      </c>
      <c r="U183">
        <v>16</v>
      </c>
      <c r="V183" t="s">
        <v>58</v>
      </c>
      <c r="W183" t="s">
        <v>146</v>
      </c>
      <c r="Y183">
        <v>0</v>
      </c>
      <c r="AG183">
        <v>13</v>
      </c>
      <c r="AH183">
        <v>693</v>
      </c>
      <c r="AI183">
        <v>2</v>
      </c>
      <c r="AJ183">
        <v>0</v>
      </c>
      <c r="AK183">
        <v>1</v>
      </c>
      <c r="AL183">
        <v>0</v>
      </c>
      <c r="AM183">
        <v>1</v>
      </c>
      <c r="AN183">
        <v>1</v>
      </c>
      <c r="AQ183">
        <v>30.743233</v>
      </c>
      <c r="AR183">
        <v>-88.080691999999999</v>
      </c>
      <c r="AS183">
        <v>41</v>
      </c>
      <c r="AT183">
        <v>9</v>
      </c>
      <c r="AU183">
        <v>12</v>
      </c>
      <c r="AV183">
        <v>511</v>
      </c>
      <c r="AW183" t="s">
        <v>703</v>
      </c>
      <c r="AX183">
        <v>1</v>
      </c>
      <c r="AY183">
        <v>1097</v>
      </c>
      <c r="AZ183">
        <v>21</v>
      </c>
    </row>
    <row r="184" spans="1:52" x14ac:dyDescent="0.3">
      <c r="A184">
        <v>187</v>
      </c>
      <c r="B184" s="3">
        <v>490014000000</v>
      </c>
      <c r="C184" t="s">
        <v>925</v>
      </c>
      <c r="D184" t="str">
        <f>IF(ISNUMBER(SEARCH("Middle",C184)), "Middle School","")</f>
        <v>Middle School</v>
      </c>
      <c r="E184">
        <v>4900142</v>
      </c>
      <c r="F184" t="s">
        <v>926</v>
      </c>
      <c r="G184" s="1">
        <v>42668</v>
      </c>
      <c r="H184" t="s">
        <v>905</v>
      </c>
      <c r="I184">
        <v>2016</v>
      </c>
      <c r="J184" s="2">
        <v>0.625</v>
      </c>
      <c r="K184" t="s">
        <v>53</v>
      </c>
      <c r="L184" t="s">
        <v>927</v>
      </c>
      <c r="M184" t="s">
        <v>928</v>
      </c>
      <c r="N184" s="4">
        <v>3337975</v>
      </c>
      <c r="O184" t="s">
        <v>56</v>
      </c>
      <c r="P184">
        <v>907</v>
      </c>
      <c r="Q184">
        <v>0</v>
      </c>
      <c r="R184">
        <v>1</v>
      </c>
      <c r="S184">
        <v>1</v>
      </c>
      <c r="T184" t="s">
        <v>70</v>
      </c>
      <c r="U184">
        <v>14</v>
      </c>
      <c r="V184" t="s">
        <v>58</v>
      </c>
      <c r="X184" t="s">
        <v>60</v>
      </c>
      <c r="Y184">
        <v>0</v>
      </c>
      <c r="AG184">
        <v>592</v>
      </c>
      <c r="AH184">
        <v>15</v>
      </c>
      <c r="AI184">
        <v>226</v>
      </c>
      <c r="AJ184">
        <v>16</v>
      </c>
      <c r="AK184">
        <v>5</v>
      </c>
      <c r="AL184">
        <v>21</v>
      </c>
      <c r="AM184">
        <v>32</v>
      </c>
      <c r="AN184">
        <v>1</v>
      </c>
      <c r="AP184" t="s">
        <v>600</v>
      </c>
      <c r="AQ184">
        <v>40.607149999999997</v>
      </c>
      <c r="AR184">
        <v>-111.87306100000001</v>
      </c>
      <c r="AT184">
        <v>6</v>
      </c>
      <c r="AU184">
        <v>8</v>
      </c>
      <c r="AV184">
        <v>389</v>
      </c>
      <c r="AW184" t="s">
        <v>929</v>
      </c>
      <c r="AX184">
        <v>49</v>
      </c>
      <c r="AY184">
        <v>49035</v>
      </c>
      <c r="AZ184">
        <v>21</v>
      </c>
    </row>
    <row r="185" spans="1:52" x14ac:dyDescent="0.3">
      <c r="A185">
        <v>188</v>
      </c>
      <c r="B185" s="3">
        <v>260426000000</v>
      </c>
      <c r="C185" t="s">
        <v>930</v>
      </c>
      <c r="D185" t="str">
        <f>IF(ISNUMBER(SEARCH("High",C185)), "High School","")</f>
        <v>High School</v>
      </c>
      <c r="E185">
        <v>2604260</v>
      </c>
      <c r="F185" t="s">
        <v>931</v>
      </c>
      <c r="G185" s="1">
        <v>42685</v>
      </c>
      <c r="H185" t="s">
        <v>905</v>
      </c>
      <c r="I185">
        <v>2016</v>
      </c>
      <c r="J185" s="2">
        <v>0.52083333333333337</v>
      </c>
      <c r="K185" t="s">
        <v>95</v>
      </c>
      <c r="L185" t="s">
        <v>932</v>
      </c>
      <c r="M185" t="s">
        <v>145</v>
      </c>
      <c r="N185" s="4">
        <v>10050811</v>
      </c>
      <c r="O185" t="s">
        <v>56</v>
      </c>
      <c r="P185">
        <v>1256</v>
      </c>
      <c r="Q185">
        <v>0</v>
      </c>
      <c r="R185">
        <v>1</v>
      </c>
      <c r="S185">
        <v>1</v>
      </c>
      <c r="T185" t="s">
        <v>114</v>
      </c>
      <c r="U185">
        <v>50</v>
      </c>
      <c r="V185" t="s">
        <v>58</v>
      </c>
      <c r="W185" t="s">
        <v>59</v>
      </c>
      <c r="X185" t="s">
        <v>478</v>
      </c>
      <c r="Y185">
        <v>0</v>
      </c>
      <c r="AG185">
        <v>1176</v>
      </c>
      <c r="AH185">
        <v>6</v>
      </c>
      <c r="AI185">
        <v>36</v>
      </c>
      <c r="AJ185">
        <v>10</v>
      </c>
      <c r="AK185">
        <v>4</v>
      </c>
      <c r="AL185">
        <v>0</v>
      </c>
      <c r="AM185">
        <v>24</v>
      </c>
      <c r="AN185">
        <v>1</v>
      </c>
      <c r="AO185" t="s">
        <v>933</v>
      </c>
      <c r="AP185" t="s">
        <v>155</v>
      </c>
      <c r="AQ185">
        <v>43.604779999999998</v>
      </c>
      <c r="AR185">
        <v>-84.078299999999999</v>
      </c>
      <c r="AS185">
        <v>57.55</v>
      </c>
      <c r="AT185">
        <v>9</v>
      </c>
      <c r="AU185">
        <v>12</v>
      </c>
      <c r="AV185">
        <v>292</v>
      </c>
      <c r="AW185" t="s">
        <v>934</v>
      </c>
      <c r="AX185">
        <v>26</v>
      </c>
      <c r="AY185">
        <v>26017</v>
      </c>
      <c r="AZ185">
        <v>23</v>
      </c>
    </row>
    <row r="186" spans="1:52" x14ac:dyDescent="0.3">
      <c r="A186">
        <v>193</v>
      </c>
      <c r="B186" s="3">
        <v>220033000000</v>
      </c>
      <c r="C186" t="s">
        <v>954</v>
      </c>
      <c r="D186" t="str">
        <f>IF(ISNUMBER(SEARCH("Elementary",C186)), "Elementary School","")</f>
        <v>Elementary School</v>
      </c>
      <c r="E186">
        <v>2200330</v>
      </c>
      <c r="F186" t="s">
        <v>955</v>
      </c>
      <c r="G186" s="1">
        <v>42870</v>
      </c>
      <c r="H186" t="s">
        <v>905</v>
      </c>
      <c r="I186">
        <v>2017</v>
      </c>
      <c r="J186" s="2">
        <v>0.3263888888888889</v>
      </c>
      <c r="K186" t="s">
        <v>82</v>
      </c>
      <c r="L186" t="s">
        <v>956</v>
      </c>
      <c r="M186" t="s">
        <v>69</v>
      </c>
      <c r="N186" s="4">
        <v>4624047</v>
      </c>
      <c r="O186" t="s">
        <v>56</v>
      </c>
      <c r="P186">
        <v>963</v>
      </c>
      <c r="Q186">
        <v>0</v>
      </c>
      <c r="R186">
        <v>1</v>
      </c>
      <c r="S186">
        <v>1</v>
      </c>
      <c r="T186" t="s">
        <v>114</v>
      </c>
      <c r="U186">
        <v>7</v>
      </c>
      <c r="V186" t="s">
        <v>58</v>
      </c>
      <c r="W186" t="s">
        <v>59</v>
      </c>
      <c r="X186" t="s">
        <v>60</v>
      </c>
      <c r="Y186">
        <v>0</v>
      </c>
      <c r="AG186">
        <v>754</v>
      </c>
      <c r="AH186">
        <v>118</v>
      </c>
      <c r="AI186">
        <v>36</v>
      </c>
      <c r="AJ186">
        <v>14</v>
      </c>
      <c r="AK186">
        <v>2</v>
      </c>
      <c r="AL186">
        <v>0</v>
      </c>
      <c r="AM186">
        <v>39</v>
      </c>
      <c r="AN186">
        <v>0</v>
      </c>
      <c r="AO186" t="s">
        <v>957</v>
      </c>
      <c r="AP186" t="s">
        <v>958</v>
      </c>
      <c r="AQ186">
        <v>30.299659999999999</v>
      </c>
      <c r="AR186">
        <v>-93.203199999999995</v>
      </c>
      <c r="AS186">
        <v>69.56</v>
      </c>
      <c r="AT186" t="s">
        <v>130</v>
      </c>
      <c r="AU186">
        <v>5</v>
      </c>
      <c r="AV186">
        <v>439</v>
      </c>
      <c r="AW186" t="s">
        <v>955</v>
      </c>
      <c r="AX186">
        <v>22</v>
      </c>
      <c r="AY186">
        <v>22019</v>
      </c>
      <c r="AZ186">
        <v>41</v>
      </c>
    </row>
    <row r="187" spans="1:52" x14ac:dyDescent="0.3">
      <c r="A187">
        <v>198</v>
      </c>
      <c r="B187" s="3">
        <v>172505000000</v>
      </c>
      <c r="C187" t="s">
        <v>970</v>
      </c>
      <c r="D187" t="str">
        <f>IF(ISNUMBER(SEARCH("High",C187)), "High School","")</f>
        <v>High School</v>
      </c>
      <c r="E187">
        <v>1725050</v>
      </c>
      <c r="F187" t="s">
        <v>971</v>
      </c>
      <c r="G187" s="1">
        <v>42998</v>
      </c>
      <c r="H187" t="s">
        <v>965</v>
      </c>
      <c r="I187">
        <v>2017</v>
      </c>
      <c r="J187" s="2">
        <v>0.47916666666666669</v>
      </c>
      <c r="K187" t="s">
        <v>90</v>
      </c>
      <c r="L187" t="s">
        <v>972</v>
      </c>
      <c r="M187" t="s">
        <v>129</v>
      </c>
      <c r="N187" s="4">
        <v>12671469</v>
      </c>
      <c r="O187" t="s">
        <v>56</v>
      </c>
      <c r="P187">
        <v>1047</v>
      </c>
      <c r="Q187">
        <v>0</v>
      </c>
      <c r="R187">
        <v>1</v>
      </c>
      <c r="S187">
        <v>1</v>
      </c>
      <c r="T187" t="s">
        <v>70</v>
      </c>
      <c r="U187">
        <v>14</v>
      </c>
      <c r="V187" t="s">
        <v>58</v>
      </c>
      <c r="W187" t="s">
        <v>59</v>
      </c>
      <c r="X187" t="s">
        <v>60</v>
      </c>
      <c r="Y187">
        <v>0</v>
      </c>
      <c r="AG187">
        <v>931</v>
      </c>
      <c r="AH187">
        <v>36</v>
      </c>
      <c r="AI187">
        <v>40</v>
      </c>
      <c r="AJ187">
        <v>9</v>
      </c>
      <c r="AK187">
        <v>1</v>
      </c>
      <c r="AL187">
        <v>1</v>
      </c>
      <c r="AM187">
        <v>29</v>
      </c>
      <c r="AN187">
        <v>1</v>
      </c>
      <c r="AO187" t="s">
        <v>973</v>
      </c>
      <c r="AP187" t="s">
        <v>306</v>
      </c>
      <c r="AQ187">
        <v>39.474404999999997</v>
      </c>
      <c r="AR187">
        <v>-88.386955</v>
      </c>
      <c r="AS187">
        <v>58.05</v>
      </c>
      <c r="AT187">
        <v>9</v>
      </c>
      <c r="AU187">
        <v>12</v>
      </c>
      <c r="AV187">
        <v>518</v>
      </c>
      <c r="AW187" t="s">
        <v>974</v>
      </c>
      <c r="AX187">
        <v>17</v>
      </c>
      <c r="AY187">
        <v>17029</v>
      </c>
      <c r="AZ187">
        <v>32</v>
      </c>
    </row>
    <row r="188" spans="1:52" x14ac:dyDescent="0.3">
      <c r="A188">
        <v>199</v>
      </c>
      <c r="B188" s="3">
        <v>262115000000</v>
      </c>
      <c r="C188" t="s">
        <v>975</v>
      </c>
      <c r="D188" t="s">
        <v>1542</v>
      </c>
      <c r="E188">
        <v>2621150</v>
      </c>
      <c r="F188" t="s">
        <v>976</v>
      </c>
      <c r="G188" s="1">
        <v>43042</v>
      </c>
      <c r="H188" t="s">
        <v>965</v>
      </c>
      <c r="I188">
        <v>2017</v>
      </c>
      <c r="J188" s="2">
        <v>0.6875</v>
      </c>
      <c r="K188" t="s">
        <v>95</v>
      </c>
      <c r="L188" t="s">
        <v>977</v>
      </c>
      <c r="M188" t="s">
        <v>145</v>
      </c>
      <c r="N188" s="4">
        <v>10050811</v>
      </c>
      <c r="O188" t="s">
        <v>56</v>
      </c>
      <c r="P188">
        <v>506</v>
      </c>
      <c r="Q188">
        <v>0</v>
      </c>
      <c r="R188">
        <v>1</v>
      </c>
      <c r="S188">
        <v>1</v>
      </c>
      <c r="T188" t="s">
        <v>114</v>
      </c>
      <c r="U188">
        <v>21</v>
      </c>
      <c r="V188" t="s">
        <v>58</v>
      </c>
      <c r="W188" t="s">
        <v>146</v>
      </c>
      <c r="Y188">
        <v>0</v>
      </c>
      <c r="AG188">
        <v>135</v>
      </c>
      <c r="AH188">
        <v>180</v>
      </c>
      <c r="AI188">
        <v>125</v>
      </c>
      <c r="AJ188">
        <v>11</v>
      </c>
      <c r="AK188">
        <v>4</v>
      </c>
      <c r="AL188">
        <v>0</v>
      </c>
      <c r="AM188">
        <v>51</v>
      </c>
      <c r="AN188">
        <v>0</v>
      </c>
      <c r="AO188" t="s">
        <v>136</v>
      </c>
      <c r="AP188" t="s">
        <v>978</v>
      </c>
      <c r="AQ188">
        <v>42.738889999999998</v>
      </c>
      <c r="AR188">
        <v>-84.524299999999997</v>
      </c>
      <c r="AS188">
        <v>27.84</v>
      </c>
      <c r="AT188">
        <v>4</v>
      </c>
      <c r="AU188">
        <v>6</v>
      </c>
      <c r="AV188">
        <v>393</v>
      </c>
      <c r="AW188" t="s">
        <v>979</v>
      </c>
      <c r="AX188">
        <v>26</v>
      </c>
      <c r="AY188">
        <v>26065</v>
      </c>
      <c r="AZ188">
        <v>12</v>
      </c>
    </row>
    <row r="189" spans="1:52" x14ac:dyDescent="0.3">
      <c r="A189">
        <v>204</v>
      </c>
      <c r="B189" s="3">
        <v>482445000000</v>
      </c>
      <c r="C189" t="s">
        <v>998</v>
      </c>
      <c r="D189" t="str">
        <f>IF(ISNUMBER(SEARCH("High",C189)), "High School","")</f>
        <v>High School</v>
      </c>
      <c r="E189">
        <v>4824450</v>
      </c>
      <c r="F189" t="s">
        <v>999</v>
      </c>
      <c r="G189" s="1">
        <v>43122</v>
      </c>
      <c r="H189" t="s">
        <v>965</v>
      </c>
      <c r="I189">
        <v>2018</v>
      </c>
      <c r="J189" s="2">
        <v>0.32847222222222222</v>
      </c>
      <c r="K189" t="s">
        <v>82</v>
      </c>
      <c r="L189" t="s">
        <v>1000</v>
      </c>
      <c r="M189" t="s">
        <v>205</v>
      </c>
      <c r="N189" s="4">
        <v>29527941</v>
      </c>
      <c r="O189" t="s">
        <v>56</v>
      </c>
      <c r="P189">
        <v>288</v>
      </c>
      <c r="Q189">
        <v>0</v>
      </c>
      <c r="R189">
        <v>1</v>
      </c>
      <c r="S189">
        <v>1</v>
      </c>
      <c r="T189" t="s">
        <v>70</v>
      </c>
      <c r="U189">
        <v>16</v>
      </c>
      <c r="V189" t="s">
        <v>58</v>
      </c>
      <c r="W189" t="s">
        <v>59</v>
      </c>
      <c r="X189" t="s">
        <v>60</v>
      </c>
      <c r="Y189">
        <v>0</v>
      </c>
      <c r="AG189">
        <v>141</v>
      </c>
      <c r="AH189">
        <v>43</v>
      </c>
      <c r="AI189">
        <v>94</v>
      </c>
      <c r="AJ189">
        <v>0</v>
      </c>
      <c r="AK189">
        <v>0</v>
      </c>
      <c r="AL189">
        <v>0</v>
      </c>
      <c r="AM189">
        <v>10</v>
      </c>
      <c r="AN189">
        <v>0</v>
      </c>
      <c r="AO189" t="s">
        <v>1001</v>
      </c>
      <c r="AQ189">
        <v>32.181128999999999</v>
      </c>
      <c r="AR189">
        <v>-96.878968</v>
      </c>
      <c r="AS189">
        <v>29.21</v>
      </c>
      <c r="AT189">
        <v>6</v>
      </c>
      <c r="AU189">
        <v>12</v>
      </c>
      <c r="AV189">
        <v>173</v>
      </c>
      <c r="AW189" t="s">
        <v>238</v>
      </c>
      <c r="AX189">
        <v>48</v>
      </c>
      <c r="AY189">
        <v>48139</v>
      </c>
      <c r="AZ189">
        <v>42</v>
      </c>
    </row>
    <row r="190" spans="1:52" x14ac:dyDescent="0.3">
      <c r="A190">
        <v>211</v>
      </c>
      <c r="B190">
        <v>10039000141</v>
      </c>
      <c r="C190" t="s">
        <v>899</v>
      </c>
      <c r="D190" t="str">
        <f>IF(ISNUMBER(SEARCH("High",C190)), "High School","")</f>
        <v>High School</v>
      </c>
      <c r="E190">
        <v>100390</v>
      </c>
      <c r="F190" t="s">
        <v>900</v>
      </c>
      <c r="G190" s="1">
        <v>43166</v>
      </c>
      <c r="H190" t="s">
        <v>965</v>
      </c>
      <c r="I190">
        <v>2018</v>
      </c>
      <c r="J190" s="2">
        <v>0.65625</v>
      </c>
      <c r="K190" t="s">
        <v>90</v>
      </c>
      <c r="L190" t="s">
        <v>901</v>
      </c>
      <c r="M190" t="s">
        <v>614</v>
      </c>
      <c r="N190" s="4">
        <v>5039877</v>
      </c>
      <c r="O190" t="s">
        <v>56</v>
      </c>
      <c r="P190">
        <v>1433</v>
      </c>
      <c r="Q190">
        <v>1</v>
      </c>
      <c r="R190">
        <v>0</v>
      </c>
      <c r="S190">
        <v>1</v>
      </c>
      <c r="T190" t="s">
        <v>114</v>
      </c>
      <c r="U190">
        <v>17</v>
      </c>
      <c r="V190" t="s">
        <v>58</v>
      </c>
      <c r="W190" t="s">
        <v>146</v>
      </c>
      <c r="X190" t="s">
        <v>60</v>
      </c>
      <c r="Y190">
        <v>0</v>
      </c>
      <c r="AG190">
        <v>13</v>
      </c>
      <c r="AH190">
        <v>1341</v>
      </c>
      <c r="AI190">
        <v>63</v>
      </c>
      <c r="AJ190">
        <v>2</v>
      </c>
      <c r="AK190">
        <v>6</v>
      </c>
      <c r="AL190">
        <v>0</v>
      </c>
      <c r="AM190">
        <v>8</v>
      </c>
      <c r="AN190">
        <v>1</v>
      </c>
      <c r="AO190" t="s">
        <v>226</v>
      </c>
      <c r="AQ190">
        <v>33.612909999999999</v>
      </c>
      <c r="AR190">
        <v>-86.682000000000002</v>
      </c>
      <c r="AS190">
        <v>66</v>
      </c>
      <c r="AT190">
        <v>9</v>
      </c>
      <c r="AU190">
        <v>12</v>
      </c>
      <c r="AV190">
        <v>775</v>
      </c>
      <c r="AW190" t="s">
        <v>64</v>
      </c>
      <c r="AX190">
        <v>1</v>
      </c>
      <c r="AY190">
        <v>1073</v>
      </c>
      <c r="AZ190">
        <v>12</v>
      </c>
    </row>
    <row r="191" spans="1:52" x14ac:dyDescent="0.3">
      <c r="A191">
        <v>214</v>
      </c>
      <c r="B191" s="3">
        <v>510300000000</v>
      </c>
      <c r="C191" t="s">
        <v>1027</v>
      </c>
      <c r="D191" t="str">
        <f>IF(ISNUMBER(SEARCH("Elementary",C191)), "Elementary School","")</f>
        <v>Elementary School</v>
      </c>
      <c r="E191">
        <v>5103000</v>
      </c>
      <c r="F191" t="s">
        <v>622</v>
      </c>
      <c r="G191" s="1">
        <v>43178</v>
      </c>
      <c r="H191" t="s">
        <v>965</v>
      </c>
      <c r="I191">
        <v>2018</v>
      </c>
      <c r="J191" s="2">
        <v>0.68263888888888891</v>
      </c>
      <c r="K191" t="s">
        <v>82</v>
      </c>
      <c r="L191" t="s">
        <v>549</v>
      </c>
      <c r="M191" t="s">
        <v>441</v>
      </c>
      <c r="N191" s="4">
        <v>8642274</v>
      </c>
      <c r="O191" t="s">
        <v>56</v>
      </c>
      <c r="P191">
        <v>761</v>
      </c>
      <c r="Q191">
        <v>0</v>
      </c>
      <c r="R191">
        <v>1</v>
      </c>
      <c r="S191">
        <v>1</v>
      </c>
      <c r="T191" t="s">
        <v>792</v>
      </c>
      <c r="Y191">
        <v>0</v>
      </c>
      <c r="AG191">
        <v>5</v>
      </c>
      <c r="AH191">
        <v>738</v>
      </c>
      <c r="AI191">
        <v>8</v>
      </c>
      <c r="AJ191">
        <v>2</v>
      </c>
      <c r="AK191">
        <v>1</v>
      </c>
      <c r="AL191">
        <v>0</v>
      </c>
      <c r="AM191">
        <v>7</v>
      </c>
      <c r="AN191">
        <v>0</v>
      </c>
      <c r="AQ191">
        <v>36.818280000000001</v>
      </c>
      <c r="AR191">
        <v>-76.339299999999994</v>
      </c>
      <c r="AS191">
        <v>44</v>
      </c>
      <c r="AT191" t="s">
        <v>124</v>
      </c>
      <c r="AU191">
        <v>6</v>
      </c>
      <c r="AV191">
        <v>758</v>
      </c>
      <c r="AW191" t="s">
        <v>623</v>
      </c>
      <c r="AX191">
        <v>51</v>
      </c>
      <c r="AY191">
        <v>51740</v>
      </c>
      <c r="AZ191">
        <v>13</v>
      </c>
    </row>
    <row r="192" spans="1:52" x14ac:dyDescent="0.3">
      <c r="A192">
        <v>216</v>
      </c>
      <c r="B192" s="3">
        <v>120126000000</v>
      </c>
      <c r="C192" t="s">
        <v>1039</v>
      </c>
      <c r="D192" t="str">
        <f>IF(ISNUMBER(SEARCH("High",C192)), "High School","")</f>
        <v>High School</v>
      </c>
      <c r="E192">
        <v>1201260</v>
      </c>
      <c r="F192" t="s">
        <v>1040</v>
      </c>
      <c r="G192" s="1">
        <v>43210</v>
      </c>
      <c r="H192" t="s">
        <v>965</v>
      </c>
      <c r="I192">
        <v>2018</v>
      </c>
      <c r="J192" s="2">
        <v>0.36041666666666666</v>
      </c>
      <c r="K192" t="s">
        <v>95</v>
      </c>
      <c r="L192" t="s">
        <v>1041</v>
      </c>
      <c r="M192" t="s">
        <v>113</v>
      </c>
      <c r="N192" s="4">
        <v>21781128</v>
      </c>
      <c r="O192" t="s">
        <v>56</v>
      </c>
      <c r="P192">
        <v>2181</v>
      </c>
      <c r="Q192">
        <v>0</v>
      </c>
      <c r="R192">
        <v>1</v>
      </c>
      <c r="S192">
        <v>1</v>
      </c>
      <c r="T192" t="s">
        <v>57</v>
      </c>
      <c r="U192">
        <v>19</v>
      </c>
      <c r="V192" t="s">
        <v>58</v>
      </c>
      <c r="X192" t="s">
        <v>381</v>
      </c>
      <c r="Y192">
        <v>0</v>
      </c>
      <c r="AG192">
        <v>1396</v>
      </c>
      <c r="AH192">
        <v>336</v>
      </c>
      <c r="AI192">
        <v>298</v>
      </c>
      <c r="AJ192">
        <v>24</v>
      </c>
      <c r="AK192">
        <v>16</v>
      </c>
      <c r="AL192">
        <v>2</v>
      </c>
      <c r="AM192">
        <v>109</v>
      </c>
      <c r="AN192">
        <v>1</v>
      </c>
      <c r="AO192" t="s">
        <v>579</v>
      </c>
      <c r="AQ192">
        <v>29.143619999999999</v>
      </c>
      <c r="AR192">
        <v>-82.066682</v>
      </c>
      <c r="AS192">
        <v>101</v>
      </c>
      <c r="AT192">
        <v>9</v>
      </c>
      <c r="AU192">
        <v>12</v>
      </c>
      <c r="AV192">
        <v>1048</v>
      </c>
      <c r="AW192" t="s">
        <v>1042</v>
      </c>
      <c r="AX192">
        <v>12</v>
      </c>
      <c r="AY192">
        <v>12083</v>
      </c>
      <c r="AZ192">
        <v>22</v>
      </c>
    </row>
    <row r="193" spans="1:52" x14ac:dyDescent="0.3">
      <c r="A193">
        <v>217</v>
      </c>
      <c r="B193" s="3">
        <v>370297000000</v>
      </c>
      <c r="C193" t="s">
        <v>336</v>
      </c>
      <c r="D193" t="str">
        <f>IF(ISNUMBER(SEARCH("High",C193)), "High School","")</f>
        <v>High School</v>
      </c>
      <c r="E193">
        <v>3702970</v>
      </c>
      <c r="F193" t="s">
        <v>337</v>
      </c>
      <c r="G193" s="1">
        <v>37938</v>
      </c>
      <c r="H193" t="s">
        <v>310</v>
      </c>
      <c r="I193">
        <v>2003</v>
      </c>
      <c r="J193" s="2">
        <v>0.48958333333333331</v>
      </c>
      <c r="K193" t="s">
        <v>67</v>
      </c>
      <c r="L193" t="s">
        <v>338</v>
      </c>
      <c r="M193" t="s">
        <v>326</v>
      </c>
      <c r="N193" s="4">
        <v>10551162</v>
      </c>
      <c r="O193" t="s">
        <v>56</v>
      </c>
      <c r="P193">
        <v>2275</v>
      </c>
      <c r="Q193">
        <v>0</v>
      </c>
      <c r="R193">
        <v>1</v>
      </c>
      <c r="S193">
        <v>1</v>
      </c>
      <c r="T193" t="s">
        <v>114</v>
      </c>
      <c r="U193">
        <v>15</v>
      </c>
      <c r="V193" t="s">
        <v>58</v>
      </c>
      <c r="X193" t="s">
        <v>60</v>
      </c>
      <c r="Y193">
        <v>0</v>
      </c>
      <c r="AG193">
        <v>997</v>
      </c>
      <c r="AH193">
        <v>990</v>
      </c>
      <c r="AI193">
        <v>198</v>
      </c>
      <c r="AJ193">
        <v>82</v>
      </c>
      <c r="AK193">
        <v>8</v>
      </c>
      <c r="AN193">
        <v>1</v>
      </c>
      <c r="AO193" t="s">
        <v>166</v>
      </c>
      <c r="AQ193">
        <v>35.175975999999999</v>
      </c>
      <c r="AR193">
        <v>-80.756579000000002</v>
      </c>
      <c r="AS193">
        <v>113</v>
      </c>
      <c r="AT193">
        <v>9</v>
      </c>
      <c r="AU193">
        <v>12</v>
      </c>
      <c r="AV193">
        <v>709</v>
      </c>
      <c r="AW193" t="s">
        <v>339</v>
      </c>
      <c r="AX193">
        <v>37</v>
      </c>
      <c r="AY193">
        <v>37119</v>
      </c>
      <c r="AZ193">
        <v>11</v>
      </c>
    </row>
    <row r="194" spans="1:52" x14ac:dyDescent="0.3">
      <c r="A194">
        <v>218</v>
      </c>
      <c r="B194">
        <v>60282009515</v>
      </c>
      <c r="C194" t="s">
        <v>1044</v>
      </c>
      <c r="D194" t="str">
        <f>IF(ISNUMBER(SEARCH("High",C194)), "High School","")</f>
        <v>High School</v>
      </c>
      <c r="E194">
        <v>602820</v>
      </c>
      <c r="F194" t="s">
        <v>1049</v>
      </c>
      <c r="G194" s="1">
        <v>43231</v>
      </c>
      <c r="H194" t="s">
        <v>965</v>
      </c>
      <c r="I194">
        <v>2018</v>
      </c>
      <c r="J194" s="2">
        <v>0.2951388888888889</v>
      </c>
      <c r="K194" t="s">
        <v>95</v>
      </c>
      <c r="L194" t="s">
        <v>1050</v>
      </c>
      <c r="M194" t="s">
        <v>121</v>
      </c>
      <c r="N194" s="4">
        <v>39237836</v>
      </c>
      <c r="O194" t="s">
        <v>56</v>
      </c>
      <c r="P194">
        <v>2931</v>
      </c>
      <c r="Q194">
        <v>0</v>
      </c>
      <c r="R194">
        <v>1</v>
      </c>
      <c r="S194">
        <v>1</v>
      </c>
      <c r="T194" t="s">
        <v>70</v>
      </c>
      <c r="U194">
        <v>14</v>
      </c>
      <c r="V194" t="s">
        <v>58</v>
      </c>
      <c r="X194" t="s">
        <v>60</v>
      </c>
      <c r="Y194">
        <v>0</v>
      </c>
      <c r="AG194">
        <v>462</v>
      </c>
      <c r="AH194">
        <v>453</v>
      </c>
      <c r="AI194">
        <v>1742</v>
      </c>
      <c r="AJ194">
        <v>159</v>
      </c>
      <c r="AK194">
        <v>19</v>
      </c>
      <c r="AL194">
        <v>5</v>
      </c>
      <c r="AM194">
        <v>91</v>
      </c>
      <c r="AN194">
        <v>0</v>
      </c>
      <c r="AO194" t="s">
        <v>1051</v>
      </c>
      <c r="AQ194">
        <v>34.591754999999999</v>
      </c>
      <c r="AR194">
        <v>-118.175561</v>
      </c>
      <c r="AS194">
        <v>126.42</v>
      </c>
      <c r="AT194">
        <v>9</v>
      </c>
      <c r="AU194">
        <v>12</v>
      </c>
      <c r="AV194">
        <v>1717</v>
      </c>
      <c r="AW194" t="s">
        <v>243</v>
      </c>
      <c r="AX194">
        <v>6</v>
      </c>
      <c r="AY194">
        <v>6037</v>
      </c>
      <c r="AZ194">
        <v>21</v>
      </c>
    </row>
    <row r="195" spans="1:52" x14ac:dyDescent="0.3">
      <c r="A195">
        <v>223</v>
      </c>
      <c r="B195" s="3">
        <v>320006000000</v>
      </c>
      <c r="C195" t="s">
        <v>1068</v>
      </c>
      <c r="D195" t="str">
        <f>IF(ISNUMBER(SEARCH("High",C195)), "High School","")</f>
        <v>High School</v>
      </c>
      <c r="E195">
        <v>3200060</v>
      </c>
      <c r="F195" t="s">
        <v>1069</v>
      </c>
      <c r="G195" s="1">
        <v>43354</v>
      </c>
      <c r="H195" t="s">
        <v>1065</v>
      </c>
      <c r="I195">
        <v>2018</v>
      </c>
      <c r="J195" s="2">
        <v>0.60763888888888895</v>
      </c>
      <c r="K195" t="s">
        <v>53</v>
      </c>
      <c r="L195" t="s">
        <v>1070</v>
      </c>
      <c r="M195" t="s">
        <v>465</v>
      </c>
      <c r="N195" s="4">
        <v>3143991</v>
      </c>
      <c r="O195" t="s">
        <v>56</v>
      </c>
      <c r="P195">
        <v>2887</v>
      </c>
      <c r="Q195">
        <v>1</v>
      </c>
      <c r="R195">
        <v>0</v>
      </c>
      <c r="S195">
        <v>1</v>
      </c>
      <c r="T195" t="s">
        <v>70</v>
      </c>
      <c r="U195">
        <v>16</v>
      </c>
      <c r="V195" t="s">
        <v>58</v>
      </c>
      <c r="W195" t="s">
        <v>146</v>
      </c>
      <c r="X195" t="s">
        <v>60</v>
      </c>
      <c r="Y195">
        <v>0</v>
      </c>
      <c r="AG195">
        <v>154</v>
      </c>
      <c r="AH195">
        <v>793</v>
      </c>
      <c r="AI195">
        <v>1757</v>
      </c>
      <c r="AJ195">
        <v>56</v>
      </c>
      <c r="AK195">
        <v>4</v>
      </c>
      <c r="AL195">
        <v>18</v>
      </c>
      <c r="AM195">
        <v>105</v>
      </c>
      <c r="AN195">
        <v>1</v>
      </c>
      <c r="AQ195">
        <v>36.233566000000003</v>
      </c>
      <c r="AR195">
        <v>-115.135695</v>
      </c>
      <c r="AS195">
        <v>115</v>
      </c>
      <c r="AT195">
        <v>9</v>
      </c>
      <c r="AU195">
        <v>12</v>
      </c>
      <c r="AV195">
        <v>2321</v>
      </c>
      <c r="AW195" t="s">
        <v>1071</v>
      </c>
      <c r="AX195">
        <v>32</v>
      </c>
      <c r="AY195">
        <v>32003</v>
      </c>
      <c r="AZ195">
        <v>21</v>
      </c>
    </row>
    <row r="196" spans="1:52" x14ac:dyDescent="0.3">
      <c r="A196">
        <v>224</v>
      </c>
      <c r="B196">
        <v>20018000072</v>
      </c>
      <c r="C196" t="s">
        <v>1073</v>
      </c>
      <c r="D196" t="str">
        <f>IF(ISNUMBER(SEARCH("Elementary",C196)), "Elementary School","")</f>
        <v>Elementary School</v>
      </c>
      <c r="E196">
        <v>200180</v>
      </c>
      <c r="F196" t="s">
        <v>1074</v>
      </c>
      <c r="G196" s="1">
        <v>43376</v>
      </c>
      <c r="H196" t="s">
        <v>1065</v>
      </c>
      <c r="I196">
        <v>2018</v>
      </c>
      <c r="J196" s="2">
        <v>0.41666666666666669</v>
      </c>
      <c r="K196" t="s">
        <v>90</v>
      </c>
      <c r="L196" t="s">
        <v>1075</v>
      </c>
      <c r="M196" t="s">
        <v>1076</v>
      </c>
      <c r="N196" s="4">
        <v>732673</v>
      </c>
      <c r="O196" t="s">
        <v>56</v>
      </c>
      <c r="P196">
        <v>429</v>
      </c>
      <c r="Q196">
        <v>0</v>
      </c>
      <c r="R196">
        <v>1</v>
      </c>
      <c r="S196">
        <v>1</v>
      </c>
      <c r="T196" t="s">
        <v>70</v>
      </c>
      <c r="U196">
        <v>26</v>
      </c>
      <c r="V196" t="s">
        <v>58</v>
      </c>
      <c r="W196" t="s">
        <v>146</v>
      </c>
      <c r="X196" t="s">
        <v>1077</v>
      </c>
      <c r="Y196">
        <v>0</v>
      </c>
      <c r="AG196">
        <v>192</v>
      </c>
      <c r="AH196">
        <v>22</v>
      </c>
      <c r="AI196">
        <v>50</v>
      </c>
      <c r="AJ196">
        <v>31</v>
      </c>
      <c r="AK196">
        <v>44</v>
      </c>
      <c r="AL196">
        <v>27</v>
      </c>
      <c r="AM196">
        <v>63</v>
      </c>
      <c r="AN196">
        <v>0</v>
      </c>
      <c r="AO196" t="s">
        <v>1078</v>
      </c>
      <c r="AQ196">
        <v>61.213281000000002</v>
      </c>
      <c r="AR196">
        <v>-149.881113</v>
      </c>
      <c r="AS196">
        <v>26.7</v>
      </c>
      <c r="AT196" t="s">
        <v>130</v>
      </c>
      <c r="AU196">
        <v>6</v>
      </c>
      <c r="AV196">
        <v>178</v>
      </c>
      <c r="AW196" t="s">
        <v>1079</v>
      </c>
      <c r="AX196">
        <v>2</v>
      </c>
      <c r="AY196">
        <v>2020</v>
      </c>
      <c r="AZ196">
        <v>11</v>
      </c>
    </row>
    <row r="197" spans="1:52" x14ac:dyDescent="0.3">
      <c r="A197">
        <v>227</v>
      </c>
      <c r="B197" s="3">
        <v>370297000000</v>
      </c>
      <c r="C197" t="s">
        <v>1086</v>
      </c>
      <c r="D197" t="str">
        <f>IF(ISNUMBER(SEARCH("High",C197)), "High School","")</f>
        <v>High School</v>
      </c>
      <c r="E197">
        <v>3702970</v>
      </c>
      <c r="F197" t="s">
        <v>337</v>
      </c>
      <c r="G197" s="1">
        <v>43402</v>
      </c>
      <c r="H197" t="s">
        <v>1065</v>
      </c>
      <c r="I197">
        <v>2018</v>
      </c>
      <c r="J197" s="2">
        <v>0.29166666666666669</v>
      </c>
      <c r="K197" t="s">
        <v>82</v>
      </c>
      <c r="L197" t="s">
        <v>1087</v>
      </c>
      <c r="M197" t="s">
        <v>326</v>
      </c>
      <c r="N197" s="4">
        <v>10551162</v>
      </c>
      <c r="O197" t="s">
        <v>56</v>
      </c>
      <c r="P197">
        <v>2133</v>
      </c>
      <c r="Q197">
        <v>1</v>
      </c>
      <c r="R197">
        <v>0</v>
      </c>
      <c r="S197">
        <v>1</v>
      </c>
      <c r="T197" t="s">
        <v>70</v>
      </c>
      <c r="U197">
        <v>16</v>
      </c>
      <c r="V197" t="s">
        <v>58</v>
      </c>
      <c r="W197" t="s">
        <v>146</v>
      </c>
      <c r="X197" t="s">
        <v>60</v>
      </c>
      <c r="Y197">
        <v>0</v>
      </c>
      <c r="AG197">
        <v>860</v>
      </c>
      <c r="AH197">
        <v>681</v>
      </c>
      <c r="AI197">
        <v>410</v>
      </c>
      <c r="AJ197">
        <v>86</v>
      </c>
      <c r="AK197">
        <v>9</v>
      </c>
      <c r="AL197">
        <v>1</v>
      </c>
      <c r="AM197">
        <v>86</v>
      </c>
      <c r="AN197">
        <v>1</v>
      </c>
      <c r="AO197" t="s">
        <v>1088</v>
      </c>
      <c r="AP197" t="s">
        <v>116</v>
      </c>
      <c r="AQ197">
        <v>35.1203</v>
      </c>
      <c r="AR197">
        <v>-80.691599999999994</v>
      </c>
      <c r="AS197">
        <v>114.21</v>
      </c>
      <c r="AT197">
        <v>9</v>
      </c>
      <c r="AU197">
        <v>12</v>
      </c>
      <c r="AV197">
        <v>876</v>
      </c>
      <c r="AW197" t="s">
        <v>339</v>
      </c>
      <c r="AX197">
        <v>37</v>
      </c>
      <c r="AY197">
        <v>37119</v>
      </c>
      <c r="AZ197">
        <v>21</v>
      </c>
    </row>
    <row r="198" spans="1:52" x14ac:dyDescent="0.3">
      <c r="A198">
        <v>228</v>
      </c>
      <c r="B198" s="3">
        <v>510300000000</v>
      </c>
      <c r="C198" t="s">
        <v>1089</v>
      </c>
      <c r="D198" t="str">
        <f>IF(ISNUMBER(SEARCH("Elementary",C198)), "Elementary School","")</f>
        <v>Elementary School</v>
      </c>
      <c r="E198">
        <v>5103000</v>
      </c>
      <c r="F198" t="s">
        <v>622</v>
      </c>
      <c r="G198" s="1">
        <v>43424</v>
      </c>
      <c r="H198" t="s">
        <v>1065</v>
      </c>
      <c r="I198">
        <v>2018</v>
      </c>
      <c r="J198" s="2">
        <v>0.65625</v>
      </c>
      <c r="K198" t="s">
        <v>53</v>
      </c>
      <c r="L198" t="s">
        <v>549</v>
      </c>
      <c r="M198" t="s">
        <v>441</v>
      </c>
      <c r="N198" s="4">
        <v>8642274</v>
      </c>
      <c r="O198" t="s">
        <v>56</v>
      </c>
      <c r="P198">
        <v>702</v>
      </c>
      <c r="Q198">
        <v>0</v>
      </c>
      <c r="R198">
        <v>1</v>
      </c>
      <c r="S198">
        <v>1</v>
      </c>
      <c r="T198" t="s">
        <v>114</v>
      </c>
      <c r="U198">
        <v>29</v>
      </c>
      <c r="V198" t="s">
        <v>58</v>
      </c>
      <c r="W198" t="s">
        <v>146</v>
      </c>
      <c r="X198" t="s">
        <v>153</v>
      </c>
      <c r="Y198">
        <v>0</v>
      </c>
      <c r="AG198">
        <v>432</v>
      </c>
      <c r="AH198">
        <v>217</v>
      </c>
      <c r="AI198">
        <v>24</v>
      </c>
      <c r="AJ198">
        <v>6</v>
      </c>
      <c r="AK198">
        <v>0</v>
      </c>
      <c r="AL198">
        <v>1</v>
      </c>
      <c r="AM198">
        <v>22</v>
      </c>
      <c r="AN198">
        <v>0</v>
      </c>
      <c r="AO198" t="s">
        <v>136</v>
      </c>
      <c r="AQ198">
        <v>36.826819999999998</v>
      </c>
      <c r="AR198">
        <v>-76.366280000000003</v>
      </c>
      <c r="AS198">
        <v>41</v>
      </c>
      <c r="AT198" t="s">
        <v>124</v>
      </c>
      <c r="AU198">
        <v>5</v>
      </c>
      <c r="AV198">
        <v>351</v>
      </c>
      <c r="AW198" t="s">
        <v>623</v>
      </c>
      <c r="AX198">
        <v>51</v>
      </c>
      <c r="AY198">
        <v>51740</v>
      </c>
      <c r="AZ198">
        <v>13</v>
      </c>
    </row>
    <row r="199" spans="1:52" x14ac:dyDescent="0.3">
      <c r="A199">
        <v>231</v>
      </c>
      <c r="B199" s="3">
        <v>240009000000</v>
      </c>
      <c r="C199" t="s">
        <v>1103</v>
      </c>
      <c r="D199" t="str">
        <f>IF(ISNUMBER(SEARCH("High",C199)), "High School","")</f>
        <v>High School</v>
      </c>
      <c r="E199">
        <v>2400090</v>
      </c>
      <c r="F199" t="s">
        <v>196</v>
      </c>
      <c r="G199" s="1">
        <v>43504</v>
      </c>
      <c r="H199" t="s">
        <v>1065</v>
      </c>
      <c r="I199">
        <v>2019</v>
      </c>
      <c r="J199" s="2">
        <v>0.5</v>
      </c>
      <c r="K199" t="s">
        <v>95</v>
      </c>
      <c r="L199" t="s">
        <v>197</v>
      </c>
      <c r="M199" t="s">
        <v>198</v>
      </c>
      <c r="N199" s="4">
        <v>6165129</v>
      </c>
      <c r="O199" t="s">
        <v>56</v>
      </c>
      <c r="P199">
        <v>877</v>
      </c>
      <c r="Q199">
        <v>0</v>
      </c>
      <c r="R199">
        <v>1</v>
      </c>
      <c r="S199">
        <v>1</v>
      </c>
      <c r="T199" t="s">
        <v>70</v>
      </c>
      <c r="U199">
        <v>25</v>
      </c>
      <c r="V199" t="s">
        <v>58</v>
      </c>
      <c r="X199" t="s">
        <v>902</v>
      </c>
      <c r="Y199">
        <v>0</v>
      </c>
      <c r="AG199">
        <v>8</v>
      </c>
      <c r="AH199">
        <v>864</v>
      </c>
      <c r="AI199">
        <v>2</v>
      </c>
      <c r="AJ199">
        <v>0</v>
      </c>
      <c r="AK199">
        <v>3</v>
      </c>
      <c r="AL199">
        <v>0</v>
      </c>
      <c r="AM199">
        <v>0</v>
      </c>
      <c r="AN199">
        <v>0</v>
      </c>
      <c r="AO199" t="s">
        <v>1104</v>
      </c>
      <c r="AQ199">
        <v>39.314799999999998</v>
      </c>
      <c r="AR199">
        <v>-76.654899999999998</v>
      </c>
      <c r="AS199">
        <v>62</v>
      </c>
      <c r="AT199">
        <v>9</v>
      </c>
      <c r="AU199">
        <v>12</v>
      </c>
      <c r="AW199" t="s">
        <v>201</v>
      </c>
      <c r="AX199">
        <v>24</v>
      </c>
      <c r="AY199">
        <v>24510</v>
      </c>
      <c r="AZ199">
        <v>11</v>
      </c>
    </row>
    <row r="200" spans="1:52" x14ac:dyDescent="0.3">
      <c r="A200">
        <v>234</v>
      </c>
      <c r="B200">
        <v>10243001035</v>
      </c>
      <c r="C200" t="s">
        <v>946</v>
      </c>
      <c r="D200" t="str">
        <f>IF(ISNUMBER(SEARCH("High",C200)), "High School","")</f>
        <v>High School</v>
      </c>
      <c r="E200">
        <v>102430</v>
      </c>
      <c r="F200" t="s">
        <v>947</v>
      </c>
      <c r="G200" s="1">
        <v>43522</v>
      </c>
      <c r="H200" t="s">
        <v>1065</v>
      </c>
      <c r="I200">
        <v>2019</v>
      </c>
      <c r="J200" s="2">
        <v>0.45833333333333331</v>
      </c>
      <c r="K200" t="s">
        <v>53</v>
      </c>
      <c r="L200" t="s">
        <v>948</v>
      </c>
      <c r="M200" t="s">
        <v>614</v>
      </c>
      <c r="N200" s="4">
        <v>5039877</v>
      </c>
      <c r="O200" t="s">
        <v>56</v>
      </c>
      <c r="P200">
        <v>1514</v>
      </c>
      <c r="Q200">
        <v>0</v>
      </c>
      <c r="R200">
        <v>1</v>
      </c>
      <c r="S200">
        <v>1</v>
      </c>
      <c r="T200" t="s">
        <v>70</v>
      </c>
      <c r="U200">
        <v>16</v>
      </c>
      <c r="V200" t="s">
        <v>58</v>
      </c>
      <c r="W200" t="s">
        <v>146</v>
      </c>
      <c r="X200" t="s">
        <v>60</v>
      </c>
      <c r="Y200">
        <v>0</v>
      </c>
      <c r="AG200">
        <v>132</v>
      </c>
      <c r="AH200">
        <v>1253</v>
      </c>
      <c r="AI200">
        <v>90</v>
      </c>
      <c r="AJ200">
        <v>20</v>
      </c>
      <c r="AK200">
        <v>2</v>
      </c>
      <c r="AL200">
        <v>0</v>
      </c>
      <c r="AM200">
        <v>17</v>
      </c>
      <c r="AN200">
        <v>0</v>
      </c>
      <c r="AO200" t="s">
        <v>594</v>
      </c>
      <c r="AP200" t="s">
        <v>1109</v>
      </c>
      <c r="AQ200">
        <v>32.378701999999997</v>
      </c>
      <c r="AR200">
        <v>-86.271648999999996</v>
      </c>
      <c r="AS200">
        <v>82.5</v>
      </c>
      <c r="AT200">
        <v>9</v>
      </c>
      <c r="AU200">
        <v>12</v>
      </c>
      <c r="AV200">
        <v>941</v>
      </c>
      <c r="AW200" t="s">
        <v>947</v>
      </c>
      <c r="AX200">
        <v>1</v>
      </c>
      <c r="AY200">
        <v>1101</v>
      </c>
      <c r="AZ200">
        <v>12</v>
      </c>
    </row>
    <row r="201" spans="1:52" x14ac:dyDescent="0.3">
      <c r="A201">
        <v>235</v>
      </c>
      <c r="B201">
        <v>10042000205</v>
      </c>
      <c r="C201" t="s">
        <v>1116</v>
      </c>
      <c r="D201" t="str">
        <f>IF(ISNUMBER(SEARCH("Elementary",C201)), "Elementary School","")</f>
        <v>Elementary School</v>
      </c>
      <c r="E201">
        <v>100420</v>
      </c>
      <c r="F201" t="s">
        <v>1117</v>
      </c>
      <c r="G201" s="1">
        <v>43546</v>
      </c>
      <c r="H201" t="s">
        <v>1065</v>
      </c>
      <c r="I201">
        <v>2019</v>
      </c>
      <c r="J201" s="2">
        <v>0.52083333333333337</v>
      </c>
      <c r="K201" t="s">
        <v>95</v>
      </c>
      <c r="L201" t="s">
        <v>1118</v>
      </c>
      <c r="M201" t="s">
        <v>614</v>
      </c>
      <c r="N201" s="4">
        <v>5039877</v>
      </c>
      <c r="O201" t="s">
        <v>56</v>
      </c>
      <c r="P201">
        <v>632</v>
      </c>
      <c r="Q201">
        <v>0</v>
      </c>
      <c r="R201">
        <v>1</v>
      </c>
      <c r="S201">
        <v>1</v>
      </c>
      <c r="T201" t="s">
        <v>114</v>
      </c>
      <c r="U201">
        <v>72</v>
      </c>
      <c r="V201" t="s">
        <v>58</v>
      </c>
      <c r="W201" t="s">
        <v>59</v>
      </c>
      <c r="X201" t="s">
        <v>1119</v>
      </c>
      <c r="Y201">
        <v>0</v>
      </c>
      <c r="AG201">
        <v>516</v>
      </c>
      <c r="AH201">
        <v>4</v>
      </c>
      <c r="AI201">
        <v>110</v>
      </c>
      <c r="AJ201">
        <v>0</v>
      </c>
      <c r="AK201">
        <v>2</v>
      </c>
      <c r="AL201">
        <v>0</v>
      </c>
      <c r="AM201">
        <v>0</v>
      </c>
      <c r="AN201">
        <v>0</v>
      </c>
      <c r="AO201" t="s">
        <v>1120</v>
      </c>
      <c r="AP201" t="s">
        <v>155</v>
      </c>
      <c r="AQ201">
        <v>34.084699999999998</v>
      </c>
      <c r="AR201">
        <v>-86.585999999999999</v>
      </c>
      <c r="AS201">
        <v>37.39</v>
      </c>
      <c r="AT201" t="s">
        <v>124</v>
      </c>
      <c r="AU201">
        <v>6</v>
      </c>
      <c r="AV201">
        <v>425</v>
      </c>
      <c r="AW201" t="s">
        <v>1117</v>
      </c>
      <c r="AX201">
        <v>1</v>
      </c>
      <c r="AY201">
        <v>1009</v>
      </c>
      <c r="AZ201">
        <v>42</v>
      </c>
    </row>
    <row r="202" spans="1:52" x14ac:dyDescent="0.3">
      <c r="A202">
        <v>236</v>
      </c>
      <c r="B202">
        <v>51182000899</v>
      </c>
      <c r="C202" t="s">
        <v>1121</v>
      </c>
      <c r="D202" t="str">
        <f>IF(ISNUMBER(SEARCH("High",C202)), "High School","")</f>
        <v>High School</v>
      </c>
      <c r="E202">
        <v>511820</v>
      </c>
      <c r="F202" t="s">
        <v>1122</v>
      </c>
      <c r="G202" s="1">
        <v>43556</v>
      </c>
      <c r="H202" t="s">
        <v>1065</v>
      </c>
      <c r="I202">
        <v>2019</v>
      </c>
      <c r="J202" s="2">
        <v>0.38472222222222219</v>
      </c>
      <c r="K202" t="s">
        <v>82</v>
      </c>
      <c r="L202" t="s">
        <v>1123</v>
      </c>
      <c r="M202" t="s">
        <v>884</v>
      </c>
      <c r="N202" s="4">
        <v>3025891</v>
      </c>
      <c r="O202" t="s">
        <v>56</v>
      </c>
      <c r="P202">
        <v>457</v>
      </c>
      <c r="Q202">
        <v>0</v>
      </c>
      <c r="R202">
        <v>1</v>
      </c>
      <c r="S202">
        <v>1</v>
      </c>
      <c r="T202" t="s">
        <v>70</v>
      </c>
      <c r="U202">
        <v>14</v>
      </c>
      <c r="X202" t="s">
        <v>60</v>
      </c>
      <c r="Y202">
        <v>0</v>
      </c>
      <c r="AG202">
        <v>246</v>
      </c>
      <c r="AH202">
        <v>182</v>
      </c>
      <c r="AI202">
        <v>21</v>
      </c>
      <c r="AJ202">
        <v>4</v>
      </c>
      <c r="AK202">
        <v>4</v>
      </c>
      <c r="AL202">
        <v>0</v>
      </c>
      <c r="AM202">
        <v>0</v>
      </c>
      <c r="AN202">
        <v>0</v>
      </c>
      <c r="AO202" t="s">
        <v>136</v>
      </c>
      <c r="AQ202">
        <v>33.791237000000002</v>
      </c>
      <c r="AR202">
        <v>-93.377375999999998</v>
      </c>
      <c r="AS202">
        <v>42.07</v>
      </c>
      <c r="AT202">
        <v>7</v>
      </c>
      <c r="AU202">
        <v>12</v>
      </c>
      <c r="AV202">
        <v>310</v>
      </c>
      <c r="AW202" t="s">
        <v>1124</v>
      </c>
      <c r="AX202">
        <v>5</v>
      </c>
      <c r="AY202">
        <v>5099</v>
      </c>
      <c r="AZ202">
        <v>41</v>
      </c>
    </row>
    <row r="203" spans="1:52" x14ac:dyDescent="0.3">
      <c r="A203">
        <v>238</v>
      </c>
      <c r="B203">
        <v>10243001035</v>
      </c>
      <c r="C203" t="s">
        <v>946</v>
      </c>
      <c r="D203" t="str">
        <f>IF(ISNUMBER(SEARCH("High",C203)), "High School","")</f>
        <v>High School</v>
      </c>
      <c r="E203">
        <v>102430</v>
      </c>
      <c r="F203" t="s">
        <v>947</v>
      </c>
      <c r="G203" s="1">
        <v>42810</v>
      </c>
      <c r="H203" t="s">
        <v>905</v>
      </c>
      <c r="I203">
        <v>2017</v>
      </c>
      <c r="J203" s="2">
        <v>0.625</v>
      </c>
      <c r="K203" t="s">
        <v>67</v>
      </c>
      <c r="L203" t="s">
        <v>948</v>
      </c>
      <c r="M203" t="s">
        <v>614</v>
      </c>
      <c r="N203" s="4">
        <v>5039877</v>
      </c>
      <c r="O203" t="s">
        <v>56</v>
      </c>
      <c r="P203">
        <v>1514</v>
      </c>
      <c r="Q203">
        <v>0</v>
      </c>
      <c r="R203">
        <v>1</v>
      </c>
      <c r="S203">
        <v>1</v>
      </c>
      <c r="T203" t="s">
        <v>70</v>
      </c>
      <c r="U203">
        <v>16</v>
      </c>
      <c r="V203" t="s">
        <v>58</v>
      </c>
      <c r="W203" t="s">
        <v>58</v>
      </c>
      <c r="X203" t="s">
        <v>60</v>
      </c>
      <c r="AG203">
        <v>132</v>
      </c>
      <c r="AH203">
        <v>1253</v>
      </c>
      <c r="AI203">
        <v>90</v>
      </c>
      <c r="AJ203">
        <v>20</v>
      </c>
      <c r="AK203">
        <v>2</v>
      </c>
      <c r="AL203">
        <v>0</v>
      </c>
      <c r="AM203">
        <v>17</v>
      </c>
      <c r="AN203">
        <v>0</v>
      </c>
      <c r="AO203" t="s">
        <v>594</v>
      </c>
      <c r="AQ203">
        <v>32.378701999999997</v>
      </c>
      <c r="AR203">
        <v>-86.271648999999996</v>
      </c>
      <c r="AS203">
        <v>82.5</v>
      </c>
      <c r="AT203">
        <v>9</v>
      </c>
      <c r="AU203">
        <v>12</v>
      </c>
      <c r="AV203">
        <v>941</v>
      </c>
      <c r="AW203" t="s">
        <v>947</v>
      </c>
      <c r="AX203">
        <v>1</v>
      </c>
      <c r="AY203">
        <v>1101</v>
      </c>
      <c r="AZ203">
        <v>12</v>
      </c>
    </row>
    <row r="204" spans="1:52" x14ac:dyDescent="0.3">
      <c r="A204">
        <v>242</v>
      </c>
      <c r="B204">
        <v>62271003087</v>
      </c>
      <c r="C204" t="s">
        <v>1142</v>
      </c>
      <c r="D204" t="str">
        <f>IF(ISNUMBER(SEARCH("Middle",C204)), "Middle School","")</f>
        <v>Middle School</v>
      </c>
      <c r="E204">
        <v>622710</v>
      </c>
      <c r="F204" t="s">
        <v>240</v>
      </c>
      <c r="G204" s="1">
        <v>43704</v>
      </c>
      <c r="H204" t="s">
        <v>1141</v>
      </c>
      <c r="I204">
        <v>2019</v>
      </c>
      <c r="J204" s="2">
        <v>0.45833333333333331</v>
      </c>
      <c r="K204" t="s">
        <v>53</v>
      </c>
      <c r="L204" t="s">
        <v>241</v>
      </c>
      <c r="M204" t="s">
        <v>121</v>
      </c>
      <c r="N204" s="4">
        <v>39237836</v>
      </c>
      <c r="O204" t="s">
        <v>56</v>
      </c>
      <c r="P204">
        <v>1023</v>
      </c>
      <c r="Q204">
        <v>0</v>
      </c>
      <c r="R204">
        <v>1</v>
      </c>
      <c r="S204">
        <v>1</v>
      </c>
      <c r="T204" t="s">
        <v>792</v>
      </c>
      <c r="AG204">
        <v>11</v>
      </c>
      <c r="AH204">
        <v>4</v>
      </c>
      <c r="AI204">
        <v>999</v>
      </c>
      <c r="AJ204">
        <v>4</v>
      </c>
      <c r="AK204">
        <v>3</v>
      </c>
      <c r="AL204">
        <v>1</v>
      </c>
      <c r="AM204">
        <v>1</v>
      </c>
      <c r="AN204">
        <v>0</v>
      </c>
      <c r="AQ204">
        <v>34.036765000000003</v>
      </c>
      <c r="AR204">
        <v>-118.212583</v>
      </c>
      <c r="AS204">
        <v>47.83</v>
      </c>
      <c r="AT204">
        <v>6</v>
      </c>
      <c r="AU204">
        <v>8</v>
      </c>
      <c r="AV204">
        <v>982</v>
      </c>
      <c r="AW204" t="s">
        <v>243</v>
      </c>
      <c r="AX204">
        <v>6</v>
      </c>
      <c r="AY204">
        <v>6037</v>
      </c>
      <c r="AZ204">
        <v>11</v>
      </c>
    </row>
    <row r="205" spans="1:52" x14ac:dyDescent="0.3">
      <c r="A205">
        <v>246</v>
      </c>
      <c r="B205">
        <v>63583006130</v>
      </c>
      <c r="C205" t="s">
        <v>1148</v>
      </c>
      <c r="D205" t="str">
        <f>IF(ISNUMBER(SEARCH("High",C205)), "High School","")</f>
        <v>High School</v>
      </c>
      <c r="E205">
        <v>635830</v>
      </c>
      <c r="F205" t="s">
        <v>1149</v>
      </c>
      <c r="G205" s="1">
        <v>43760</v>
      </c>
      <c r="H205" t="s">
        <v>1141</v>
      </c>
      <c r="I205">
        <v>2019</v>
      </c>
      <c r="J205" s="2">
        <v>0.375</v>
      </c>
      <c r="K205" t="s">
        <v>53</v>
      </c>
      <c r="L205" t="s">
        <v>1150</v>
      </c>
      <c r="M205" t="s">
        <v>121</v>
      </c>
      <c r="N205" s="4">
        <v>39237836</v>
      </c>
      <c r="O205" t="s">
        <v>56</v>
      </c>
      <c r="P205">
        <v>257</v>
      </c>
      <c r="Q205">
        <v>0</v>
      </c>
      <c r="R205">
        <v>1</v>
      </c>
      <c r="S205">
        <v>1</v>
      </c>
      <c r="T205" t="s">
        <v>70</v>
      </c>
      <c r="U205">
        <v>17</v>
      </c>
      <c r="X205" t="s">
        <v>60</v>
      </c>
      <c r="AG205">
        <v>64</v>
      </c>
      <c r="AH205">
        <v>4</v>
      </c>
      <c r="AI205">
        <v>163</v>
      </c>
      <c r="AJ205">
        <v>4</v>
      </c>
      <c r="AK205">
        <v>5</v>
      </c>
      <c r="AL205">
        <v>1</v>
      </c>
      <c r="AM205">
        <v>16</v>
      </c>
      <c r="AN205">
        <v>0</v>
      </c>
      <c r="AQ205">
        <v>38.4497</v>
      </c>
      <c r="AR205">
        <v>-122.7226</v>
      </c>
      <c r="AS205">
        <v>19.079999999999998</v>
      </c>
      <c r="AT205">
        <v>11</v>
      </c>
      <c r="AU205">
        <v>12</v>
      </c>
      <c r="AV205">
        <v>139</v>
      </c>
      <c r="AW205" t="s">
        <v>1151</v>
      </c>
      <c r="AX205">
        <v>6</v>
      </c>
      <c r="AY205">
        <v>6097</v>
      </c>
      <c r="AZ205">
        <v>12</v>
      </c>
    </row>
    <row r="206" spans="1:52" x14ac:dyDescent="0.3">
      <c r="A206">
        <v>247</v>
      </c>
      <c r="B206" s="3">
        <v>240009000000</v>
      </c>
      <c r="C206" t="s">
        <v>1152</v>
      </c>
      <c r="D206" t="s">
        <v>1542</v>
      </c>
      <c r="E206">
        <v>2400090</v>
      </c>
      <c r="F206" t="s">
        <v>196</v>
      </c>
      <c r="G206" s="1">
        <v>43780</v>
      </c>
      <c r="H206" t="s">
        <v>1141</v>
      </c>
      <c r="I206">
        <v>2019</v>
      </c>
      <c r="J206" s="2">
        <v>0.58333333333333337</v>
      </c>
      <c r="K206" t="s">
        <v>82</v>
      </c>
      <c r="L206" t="s">
        <v>197</v>
      </c>
      <c r="M206" t="s">
        <v>198</v>
      </c>
      <c r="N206" s="4">
        <v>6165129</v>
      </c>
      <c r="O206" t="s">
        <v>56</v>
      </c>
      <c r="P206">
        <v>343</v>
      </c>
      <c r="Q206">
        <v>0</v>
      </c>
      <c r="R206">
        <v>1</v>
      </c>
      <c r="S206">
        <v>1</v>
      </c>
      <c r="T206" t="s">
        <v>70</v>
      </c>
      <c r="AG206">
        <v>4</v>
      </c>
      <c r="AH206">
        <v>332</v>
      </c>
      <c r="AI206">
        <v>5</v>
      </c>
      <c r="AJ206">
        <v>0</v>
      </c>
      <c r="AK206">
        <v>1</v>
      </c>
      <c r="AL206">
        <v>0</v>
      </c>
      <c r="AM206">
        <v>1</v>
      </c>
      <c r="AN206">
        <v>0</v>
      </c>
      <c r="AQ206">
        <v>39.366066000000004</v>
      </c>
      <c r="AR206">
        <v>-76.571382</v>
      </c>
      <c r="AS206">
        <v>20</v>
      </c>
      <c r="AT206">
        <v>9</v>
      </c>
      <c r="AU206">
        <v>12</v>
      </c>
      <c r="AV206">
        <v>343</v>
      </c>
      <c r="AW206" t="s">
        <v>201</v>
      </c>
      <c r="AX206">
        <v>24</v>
      </c>
      <c r="AY206">
        <v>24510</v>
      </c>
      <c r="AZ206">
        <v>11</v>
      </c>
    </row>
    <row r="207" spans="1:52" x14ac:dyDescent="0.3">
      <c r="A207">
        <v>249</v>
      </c>
      <c r="B207" s="3">
        <v>551578000000</v>
      </c>
      <c r="C207" t="s">
        <v>1160</v>
      </c>
      <c r="D207" t="str">
        <f>IF(ISNUMBER(SEARCH("High",C207)), "High School","")</f>
        <v>High School</v>
      </c>
      <c r="E207">
        <v>5515780</v>
      </c>
      <c r="F207" t="s">
        <v>1161</v>
      </c>
      <c r="G207" s="1">
        <v>43801</v>
      </c>
      <c r="H207" t="s">
        <v>1141</v>
      </c>
      <c r="I207">
        <v>2019</v>
      </c>
      <c r="J207" s="2">
        <v>0.375</v>
      </c>
      <c r="K207" t="s">
        <v>82</v>
      </c>
      <c r="L207" t="s">
        <v>1162</v>
      </c>
      <c r="M207" t="s">
        <v>429</v>
      </c>
      <c r="N207" s="4">
        <v>5895908</v>
      </c>
      <c r="O207" t="s">
        <v>56</v>
      </c>
      <c r="P207">
        <v>946</v>
      </c>
      <c r="Q207">
        <v>0</v>
      </c>
      <c r="R207">
        <v>1</v>
      </c>
      <c r="S207">
        <v>1</v>
      </c>
      <c r="T207" t="s">
        <v>70</v>
      </c>
      <c r="V207" t="s">
        <v>58</v>
      </c>
      <c r="W207" t="s">
        <v>59</v>
      </c>
      <c r="X207" t="s">
        <v>478</v>
      </c>
      <c r="Y207">
        <v>0</v>
      </c>
      <c r="AG207">
        <v>479</v>
      </c>
      <c r="AH207">
        <v>76</v>
      </c>
      <c r="AI207">
        <v>329</v>
      </c>
      <c r="AJ207">
        <v>25</v>
      </c>
      <c r="AK207">
        <v>3</v>
      </c>
      <c r="AL207">
        <v>0</v>
      </c>
      <c r="AM207">
        <v>34</v>
      </c>
      <c r="AN207">
        <v>1</v>
      </c>
      <c r="AO207" t="s">
        <v>136</v>
      </c>
      <c r="AP207" t="s">
        <v>362</v>
      </c>
      <c r="AQ207">
        <v>42.993000000000002</v>
      </c>
      <c r="AR207">
        <v>-88.223699999999994</v>
      </c>
      <c r="AS207">
        <v>73.3</v>
      </c>
      <c r="AT207">
        <v>9</v>
      </c>
      <c r="AU207">
        <v>12</v>
      </c>
      <c r="AV207">
        <v>395</v>
      </c>
      <c r="AW207" t="s">
        <v>1163</v>
      </c>
      <c r="AX207">
        <v>55</v>
      </c>
      <c r="AY207">
        <v>55133</v>
      </c>
      <c r="AZ207">
        <v>13</v>
      </c>
    </row>
    <row r="208" spans="1:52" x14ac:dyDescent="0.3">
      <c r="A208">
        <v>250</v>
      </c>
      <c r="B208" s="3">
        <v>551119000000</v>
      </c>
      <c r="C208" t="s">
        <v>1164</v>
      </c>
      <c r="D208" t="str">
        <f>IF(ISNUMBER(SEARCH("High",C208)), "High School","")</f>
        <v>High School</v>
      </c>
      <c r="E208">
        <v>5511190</v>
      </c>
      <c r="F208" t="s">
        <v>1165</v>
      </c>
      <c r="G208" s="1">
        <v>43802</v>
      </c>
      <c r="H208" t="s">
        <v>1141</v>
      </c>
      <c r="I208">
        <v>2019</v>
      </c>
      <c r="J208" s="2">
        <v>0.375</v>
      </c>
      <c r="K208" t="s">
        <v>53</v>
      </c>
      <c r="L208" t="s">
        <v>1166</v>
      </c>
      <c r="M208" t="s">
        <v>429</v>
      </c>
      <c r="N208" s="4">
        <v>5895908</v>
      </c>
      <c r="O208" t="s">
        <v>56</v>
      </c>
      <c r="P208">
        <v>1702</v>
      </c>
      <c r="Q208">
        <v>0</v>
      </c>
      <c r="R208">
        <v>1</v>
      </c>
      <c r="S208">
        <v>1</v>
      </c>
      <c r="T208" t="s">
        <v>70</v>
      </c>
      <c r="V208" t="s">
        <v>58</v>
      </c>
      <c r="W208" t="s">
        <v>59</v>
      </c>
      <c r="X208" t="s">
        <v>478</v>
      </c>
      <c r="Y208">
        <v>0</v>
      </c>
      <c r="AG208">
        <v>1475</v>
      </c>
      <c r="AH208">
        <v>36</v>
      </c>
      <c r="AI208">
        <v>70</v>
      </c>
      <c r="AJ208">
        <v>79</v>
      </c>
      <c r="AK208">
        <v>4</v>
      </c>
      <c r="AL208">
        <v>1</v>
      </c>
      <c r="AM208">
        <v>37</v>
      </c>
      <c r="AN208">
        <v>1</v>
      </c>
      <c r="AO208" t="s">
        <v>136</v>
      </c>
      <c r="AP208" t="s">
        <v>362</v>
      </c>
      <c r="AQ208">
        <v>44.022500000000001</v>
      </c>
      <c r="AR208">
        <v>-88.573599999999999</v>
      </c>
      <c r="AS208">
        <v>116.1</v>
      </c>
      <c r="AT208">
        <v>9</v>
      </c>
      <c r="AU208">
        <v>12</v>
      </c>
      <c r="AV208">
        <v>435</v>
      </c>
      <c r="AW208" t="s">
        <v>1167</v>
      </c>
      <c r="AX208">
        <v>55</v>
      </c>
      <c r="AY208">
        <v>55139</v>
      </c>
      <c r="AZ208">
        <v>13</v>
      </c>
    </row>
    <row r="209" spans="1:52" x14ac:dyDescent="0.3">
      <c r="A209">
        <v>254</v>
      </c>
      <c r="B209" s="3">
        <v>482364000000</v>
      </c>
      <c r="C209" t="s">
        <v>1174</v>
      </c>
      <c r="D209" t="str">
        <f>IF(ISNUMBER(SEARCH("High",C209)), "High School","")</f>
        <v>High School</v>
      </c>
      <c r="E209">
        <v>4823640</v>
      </c>
      <c r="F209" t="s">
        <v>664</v>
      </c>
      <c r="G209" s="1">
        <v>43844</v>
      </c>
      <c r="H209" t="s">
        <v>1141</v>
      </c>
      <c r="I209">
        <v>2020</v>
      </c>
      <c r="J209" s="2">
        <v>0.66666666666666663</v>
      </c>
      <c r="K209" t="s">
        <v>53</v>
      </c>
      <c r="L209" t="s">
        <v>1175</v>
      </c>
      <c r="M209" t="s">
        <v>205</v>
      </c>
      <c r="N209" s="4">
        <v>29527941</v>
      </c>
      <c r="O209" t="s">
        <v>56</v>
      </c>
      <c r="P209">
        <v>3487</v>
      </c>
      <c r="Q209">
        <v>1</v>
      </c>
      <c r="R209">
        <v>0</v>
      </c>
      <c r="S209">
        <v>1</v>
      </c>
      <c r="T209" t="s">
        <v>114</v>
      </c>
      <c r="U209">
        <v>16</v>
      </c>
      <c r="V209" t="s">
        <v>58</v>
      </c>
      <c r="X209" t="s">
        <v>60</v>
      </c>
      <c r="Y209">
        <v>0</v>
      </c>
      <c r="AG209">
        <v>722</v>
      </c>
      <c r="AH209">
        <v>695</v>
      </c>
      <c r="AI209">
        <v>1520</v>
      </c>
      <c r="AJ209">
        <v>469</v>
      </c>
      <c r="AK209">
        <v>8</v>
      </c>
      <c r="AL209">
        <v>3</v>
      </c>
      <c r="AM209">
        <v>70</v>
      </c>
      <c r="AN209">
        <v>0</v>
      </c>
      <c r="AO209" t="s">
        <v>1176</v>
      </c>
      <c r="AQ209">
        <v>29.692163000000001</v>
      </c>
      <c r="AR209">
        <v>-95.469159000000005</v>
      </c>
      <c r="AS209">
        <v>203.32</v>
      </c>
      <c r="AT209">
        <v>9</v>
      </c>
      <c r="AU209">
        <v>12</v>
      </c>
      <c r="AV209">
        <v>1665</v>
      </c>
      <c r="AW209" t="s">
        <v>668</v>
      </c>
      <c r="AX209">
        <v>48</v>
      </c>
      <c r="AY209">
        <v>48201</v>
      </c>
      <c r="AZ209">
        <v>21</v>
      </c>
    </row>
    <row r="210" spans="1:52" x14ac:dyDescent="0.3">
      <c r="A210">
        <v>255</v>
      </c>
      <c r="B210">
        <v>62922009598</v>
      </c>
      <c r="C210" t="s">
        <v>1177</v>
      </c>
      <c r="D210" t="str">
        <f>IF(ISNUMBER(SEARCH("Elementary",C210)), "Elementary School","")</f>
        <v>Elementary School</v>
      </c>
      <c r="E210">
        <v>629220</v>
      </c>
      <c r="F210" t="s">
        <v>191</v>
      </c>
      <c r="G210" s="1">
        <v>43853</v>
      </c>
      <c r="H210" t="s">
        <v>1141</v>
      </c>
      <c r="I210">
        <v>2020</v>
      </c>
      <c r="J210" s="2">
        <v>0.47916666666666669</v>
      </c>
      <c r="K210" t="s">
        <v>67</v>
      </c>
      <c r="L210" t="s">
        <v>191</v>
      </c>
      <c r="M210" t="s">
        <v>121</v>
      </c>
      <c r="N210" s="4">
        <v>39237836</v>
      </c>
      <c r="O210" t="s">
        <v>56</v>
      </c>
      <c r="P210">
        <v>698</v>
      </c>
      <c r="Q210">
        <v>0</v>
      </c>
      <c r="R210">
        <v>1</v>
      </c>
      <c r="S210">
        <v>1</v>
      </c>
      <c r="T210" t="s">
        <v>57</v>
      </c>
      <c r="AG210">
        <v>77</v>
      </c>
      <c r="AH210">
        <v>16</v>
      </c>
      <c r="AI210">
        <v>554</v>
      </c>
      <c r="AJ210">
        <v>31</v>
      </c>
      <c r="AK210">
        <v>1</v>
      </c>
      <c r="AL210">
        <v>1</v>
      </c>
      <c r="AM210">
        <v>18</v>
      </c>
      <c r="AN210">
        <v>0</v>
      </c>
      <c r="AQ210">
        <v>34.187600000000003</v>
      </c>
      <c r="AR210">
        <v>-119.2135</v>
      </c>
      <c r="AS210">
        <v>32</v>
      </c>
      <c r="AT210" t="s">
        <v>124</v>
      </c>
      <c r="AU210">
        <v>12</v>
      </c>
      <c r="AV210">
        <v>374</v>
      </c>
      <c r="AW210" t="s">
        <v>194</v>
      </c>
      <c r="AX210">
        <v>6</v>
      </c>
      <c r="AY210">
        <v>6111</v>
      </c>
      <c r="AZ210">
        <v>12</v>
      </c>
    </row>
    <row r="211" spans="1:52" x14ac:dyDescent="0.3">
      <c r="A211">
        <v>259</v>
      </c>
      <c r="B211" t="s">
        <v>1186</v>
      </c>
      <c r="C211" t="s">
        <v>1187</v>
      </c>
      <c r="D211" t="s">
        <v>1542</v>
      </c>
      <c r="G211" s="1">
        <v>43895</v>
      </c>
      <c r="H211" t="s">
        <v>1141</v>
      </c>
      <c r="I211">
        <v>2020</v>
      </c>
      <c r="J211" s="2">
        <v>0.5</v>
      </c>
      <c r="K211" t="s">
        <v>67</v>
      </c>
      <c r="L211" t="s">
        <v>487</v>
      </c>
      <c r="M211" t="s">
        <v>113</v>
      </c>
      <c r="N211" s="4">
        <v>21781128</v>
      </c>
      <c r="O211" t="s">
        <v>216</v>
      </c>
      <c r="P211">
        <v>651</v>
      </c>
      <c r="Q211">
        <v>0</v>
      </c>
      <c r="R211">
        <v>1</v>
      </c>
      <c r="S211">
        <v>1</v>
      </c>
      <c r="T211" t="s">
        <v>114</v>
      </c>
      <c r="U211">
        <v>55</v>
      </c>
      <c r="V211" t="s">
        <v>58</v>
      </c>
      <c r="W211" t="s">
        <v>146</v>
      </c>
      <c r="X211" t="s">
        <v>361</v>
      </c>
      <c r="Y211">
        <v>0</v>
      </c>
      <c r="AN211">
        <v>0</v>
      </c>
      <c r="AQ211">
        <v>26.13796</v>
      </c>
      <c r="AR211">
        <v>-80.424081000000001</v>
      </c>
      <c r="AS211">
        <v>46</v>
      </c>
      <c r="AT211" t="s">
        <v>130</v>
      </c>
      <c r="AU211">
        <v>12</v>
      </c>
      <c r="AW211" t="s">
        <v>574</v>
      </c>
      <c r="AX211">
        <v>12</v>
      </c>
      <c r="AY211">
        <v>12011</v>
      </c>
      <c r="AZ211">
        <v>21</v>
      </c>
    </row>
    <row r="212" spans="1:52" x14ac:dyDescent="0.3">
      <c r="A212">
        <v>260</v>
      </c>
      <c r="B212" s="3">
        <v>120048000000</v>
      </c>
      <c r="C212" t="s">
        <v>580</v>
      </c>
      <c r="D212" t="str">
        <f>IF(ISNUMBER(SEARCH("High",C212)), "High School","")</f>
        <v>High School</v>
      </c>
      <c r="E212">
        <v>1200480</v>
      </c>
      <c r="F212" t="s">
        <v>581</v>
      </c>
      <c r="G212" s="1">
        <v>44113</v>
      </c>
      <c r="H212" t="s">
        <v>1188</v>
      </c>
      <c r="I212">
        <v>2020</v>
      </c>
      <c r="J212" s="2">
        <v>0.58333333333333337</v>
      </c>
      <c r="K212" t="s">
        <v>95</v>
      </c>
      <c r="L212" t="s">
        <v>404</v>
      </c>
      <c r="M212" t="s">
        <v>113</v>
      </c>
      <c r="N212" s="4">
        <v>21781128</v>
      </c>
      <c r="O212" t="s">
        <v>56</v>
      </c>
      <c r="P212">
        <v>1383</v>
      </c>
      <c r="Q212">
        <v>0</v>
      </c>
      <c r="R212">
        <v>1</v>
      </c>
      <c r="S212">
        <v>1</v>
      </c>
      <c r="T212" t="s">
        <v>114</v>
      </c>
      <c r="U212">
        <v>18</v>
      </c>
      <c r="Y212">
        <v>0</v>
      </c>
      <c r="AG212">
        <v>30</v>
      </c>
      <c r="AH212">
        <v>1318</v>
      </c>
      <c r="AI212">
        <v>11</v>
      </c>
      <c r="AJ212">
        <v>3</v>
      </c>
      <c r="AK212">
        <v>0</v>
      </c>
      <c r="AL212">
        <v>0</v>
      </c>
      <c r="AM212">
        <v>21</v>
      </c>
      <c r="AN212">
        <v>0</v>
      </c>
      <c r="AO212" t="s">
        <v>416</v>
      </c>
      <c r="AQ212">
        <v>30.390599999999999</v>
      </c>
      <c r="AR212">
        <v>-81.707300000000004</v>
      </c>
      <c r="AS212">
        <v>68</v>
      </c>
      <c r="AT212">
        <v>9</v>
      </c>
      <c r="AU212">
        <v>12</v>
      </c>
      <c r="AV212">
        <v>884</v>
      </c>
      <c r="AW212" t="s">
        <v>405</v>
      </c>
      <c r="AX212">
        <v>12</v>
      </c>
      <c r="AY212">
        <v>12031</v>
      </c>
      <c r="AZ212">
        <v>11</v>
      </c>
    </row>
    <row r="213" spans="1:52" x14ac:dyDescent="0.3">
      <c r="A213">
        <v>261</v>
      </c>
      <c r="B213" s="3">
        <v>370042000000</v>
      </c>
      <c r="C213" t="s">
        <v>1189</v>
      </c>
      <c r="D213" t="str">
        <f>IF(ISNUMBER(SEARCH("Elementary",C213)), "Elementary School","")</f>
        <v>Elementary School</v>
      </c>
      <c r="E213">
        <v>3700420</v>
      </c>
      <c r="F213" t="s">
        <v>1190</v>
      </c>
      <c r="G213" s="1">
        <v>44148</v>
      </c>
      <c r="H213" t="s">
        <v>1188</v>
      </c>
      <c r="I213">
        <v>2020</v>
      </c>
      <c r="J213" s="2">
        <v>0.58333333333333337</v>
      </c>
      <c r="K213" t="s">
        <v>95</v>
      </c>
      <c r="L213" t="s">
        <v>1191</v>
      </c>
      <c r="M213" t="s">
        <v>326</v>
      </c>
      <c r="N213" s="4">
        <v>10551162</v>
      </c>
      <c r="O213" t="s">
        <v>56</v>
      </c>
      <c r="P213">
        <v>594</v>
      </c>
      <c r="Q213">
        <v>0</v>
      </c>
      <c r="R213">
        <v>1</v>
      </c>
      <c r="S213">
        <v>1</v>
      </c>
      <c r="T213" t="s">
        <v>114</v>
      </c>
      <c r="Y213">
        <v>0</v>
      </c>
      <c r="AG213">
        <v>258</v>
      </c>
      <c r="AH213">
        <v>118</v>
      </c>
      <c r="AI213">
        <v>156</v>
      </c>
      <c r="AJ213">
        <v>0</v>
      </c>
      <c r="AK213">
        <v>8</v>
      </c>
      <c r="AL213">
        <v>0</v>
      </c>
      <c r="AM213">
        <v>54</v>
      </c>
      <c r="AN213">
        <v>0</v>
      </c>
      <c r="AQ213">
        <v>34.261800000000001</v>
      </c>
      <c r="AR213">
        <v>-78.042900000000003</v>
      </c>
      <c r="AS213">
        <v>40</v>
      </c>
      <c r="AT213" t="s">
        <v>130</v>
      </c>
      <c r="AU213">
        <v>5</v>
      </c>
      <c r="AV213">
        <v>495</v>
      </c>
      <c r="AW213" t="s">
        <v>1192</v>
      </c>
      <c r="AX213">
        <v>37</v>
      </c>
      <c r="AY213">
        <v>37019</v>
      </c>
      <c r="AZ213">
        <v>22</v>
      </c>
    </row>
    <row r="214" spans="1:52" x14ac:dyDescent="0.3">
      <c r="A214">
        <v>262</v>
      </c>
      <c r="B214" s="3">
        <v>370210000000</v>
      </c>
      <c r="C214" t="s">
        <v>1193</v>
      </c>
      <c r="D214" t="str">
        <f>IF(ISNUMBER(SEARCH("Middle",C214)), "Middle School","")</f>
        <v>Middle School</v>
      </c>
      <c r="E214">
        <v>3702100</v>
      </c>
      <c r="F214" t="s">
        <v>1194</v>
      </c>
      <c r="G214" s="1">
        <v>44159</v>
      </c>
      <c r="H214" t="s">
        <v>1188</v>
      </c>
      <c r="I214">
        <v>2020</v>
      </c>
      <c r="J214" s="2">
        <v>0.32291666666666669</v>
      </c>
      <c r="K214" t="s">
        <v>53</v>
      </c>
      <c r="L214" t="s">
        <v>1195</v>
      </c>
      <c r="M214" t="s">
        <v>326</v>
      </c>
      <c r="N214" s="4">
        <v>10551162</v>
      </c>
      <c r="O214" t="s">
        <v>56</v>
      </c>
      <c r="P214">
        <v>561</v>
      </c>
      <c r="Q214">
        <v>0</v>
      </c>
      <c r="R214">
        <v>1</v>
      </c>
      <c r="S214">
        <v>1</v>
      </c>
      <c r="T214" t="s">
        <v>114</v>
      </c>
      <c r="U214">
        <v>12</v>
      </c>
      <c r="V214" t="s">
        <v>58</v>
      </c>
      <c r="Y214">
        <v>0</v>
      </c>
      <c r="AG214">
        <v>357</v>
      </c>
      <c r="AH214">
        <v>54</v>
      </c>
      <c r="AI214">
        <v>109</v>
      </c>
      <c r="AJ214">
        <v>7</v>
      </c>
      <c r="AK214">
        <v>0</v>
      </c>
      <c r="AL214">
        <v>4</v>
      </c>
      <c r="AM214">
        <v>30</v>
      </c>
      <c r="AN214">
        <v>0</v>
      </c>
      <c r="AQ214">
        <v>35.321899999999999</v>
      </c>
      <c r="AR214">
        <v>-82.472999999999999</v>
      </c>
      <c r="AS214">
        <v>41</v>
      </c>
      <c r="AT214">
        <v>6</v>
      </c>
      <c r="AU214">
        <v>8</v>
      </c>
      <c r="AV214">
        <v>254</v>
      </c>
      <c r="AW214" t="s">
        <v>1196</v>
      </c>
      <c r="AX214">
        <v>37</v>
      </c>
      <c r="AY214">
        <v>37089</v>
      </c>
      <c r="AZ214">
        <v>21</v>
      </c>
    </row>
    <row r="215" spans="1:52" x14ac:dyDescent="0.3">
      <c r="A215">
        <v>263</v>
      </c>
      <c r="B215">
        <v>51393001212</v>
      </c>
      <c r="C215" t="s">
        <v>1197</v>
      </c>
      <c r="D215" t="str">
        <f>IF(ISNUMBER(SEARCH("High",C215)), "High School","")</f>
        <v>High School</v>
      </c>
      <c r="E215">
        <v>513930</v>
      </c>
      <c r="F215" t="s">
        <v>1198</v>
      </c>
      <c r="G215" s="1">
        <v>44256</v>
      </c>
      <c r="H215" t="s">
        <v>1188</v>
      </c>
      <c r="I215">
        <v>2021</v>
      </c>
      <c r="J215" s="2">
        <v>0.41319444444444442</v>
      </c>
      <c r="K215" t="s">
        <v>82</v>
      </c>
      <c r="L215" t="s">
        <v>1199</v>
      </c>
      <c r="M215" t="s">
        <v>884</v>
      </c>
      <c r="N215" s="4">
        <v>3025891</v>
      </c>
      <c r="O215" t="s">
        <v>56</v>
      </c>
      <c r="P215">
        <v>615</v>
      </c>
      <c r="Q215">
        <v>1</v>
      </c>
      <c r="R215">
        <v>0</v>
      </c>
      <c r="S215">
        <v>1</v>
      </c>
      <c r="T215" t="s">
        <v>70</v>
      </c>
      <c r="U215">
        <v>15</v>
      </c>
      <c r="V215" t="s">
        <v>58</v>
      </c>
      <c r="W215" t="s">
        <v>146</v>
      </c>
      <c r="AG215">
        <v>91</v>
      </c>
      <c r="AH215">
        <v>498</v>
      </c>
      <c r="AI215">
        <v>12</v>
      </c>
      <c r="AJ215">
        <v>11</v>
      </c>
      <c r="AK215">
        <v>0</v>
      </c>
      <c r="AL215">
        <v>0</v>
      </c>
      <c r="AM215">
        <v>3</v>
      </c>
      <c r="AN215">
        <v>0</v>
      </c>
      <c r="AO215" t="s">
        <v>136</v>
      </c>
      <c r="AQ215">
        <v>34.189926999999997</v>
      </c>
      <c r="AR215">
        <v>-92.065921000000003</v>
      </c>
      <c r="AS215">
        <v>43.53</v>
      </c>
      <c r="AT215">
        <v>7</v>
      </c>
      <c r="AU215">
        <v>9</v>
      </c>
      <c r="AV215">
        <v>488</v>
      </c>
      <c r="AW215" t="s">
        <v>64</v>
      </c>
      <c r="AX215">
        <v>5</v>
      </c>
      <c r="AY215">
        <v>5069</v>
      </c>
      <c r="AZ215">
        <v>41</v>
      </c>
    </row>
    <row r="216" spans="1:52" x14ac:dyDescent="0.3">
      <c r="A216">
        <v>264</v>
      </c>
      <c r="B216" s="3">
        <v>450156000000</v>
      </c>
      <c r="C216" t="s">
        <v>1207</v>
      </c>
      <c r="D216" t="str">
        <f>IF(ISNUMBER(SEARCH("Elementary",C216)), "Elementary School","")</f>
        <v>Elementary School</v>
      </c>
      <c r="E216">
        <v>4501560</v>
      </c>
      <c r="F216" t="s">
        <v>1208</v>
      </c>
      <c r="G216" s="1">
        <v>44263</v>
      </c>
      <c r="H216" t="s">
        <v>1188</v>
      </c>
      <c r="I216">
        <v>2021</v>
      </c>
      <c r="J216" s="2">
        <v>0.5625</v>
      </c>
      <c r="K216" t="s">
        <v>82</v>
      </c>
      <c r="L216" t="s">
        <v>1209</v>
      </c>
      <c r="M216" t="s">
        <v>604</v>
      </c>
      <c r="N216" s="4">
        <v>5190705</v>
      </c>
      <c r="O216" t="s">
        <v>56</v>
      </c>
      <c r="P216">
        <v>503</v>
      </c>
      <c r="Q216">
        <v>0</v>
      </c>
      <c r="R216">
        <v>1</v>
      </c>
      <c r="S216">
        <v>1</v>
      </c>
      <c r="T216" t="s">
        <v>70</v>
      </c>
      <c r="U216">
        <v>54</v>
      </c>
      <c r="AG216">
        <v>307</v>
      </c>
      <c r="AH216">
        <v>160</v>
      </c>
      <c r="AI216">
        <v>2</v>
      </c>
      <c r="AJ216">
        <v>3</v>
      </c>
      <c r="AK216">
        <v>0</v>
      </c>
      <c r="AL216">
        <v>0</v>
      </c>
      <c r="AM216">
        <v>31</v>
      </c>
      <c r="AN216">
        <v>0</v>
      </c>
      <c r="AQ216">
        <v>34.737634</v>
      </c>
      <c r="AR216">
        <v>-80.117710000000002</v>
      </c>
      <c r="AS216">
        <v>36</v>
      </c>
      <c r="AT216" t="s">
        <v>130</v>
      </c>
      <c r="AU216">
        <v>5</v>
      </c>
      <c r="AV216">
        <v>503</v>
      </c>
      <c r="AW216" t="s">
        <v>1210</v>
      </c>
      <c r="AX216">
        <v>45</v>
      </c>
      <c r="AY216">
        <v>45025</v>
      </c>
      <c r="AZ216">
        <v>42</v>
      </c>
    </row>
    <row r="217" spans="1:52" x14ac:dyDescent="0.3">
      <c r="A217">
        <v>265</v>
      </c>
      <c r="B217" s="3">
        <v>470222000000</v>
      </c>
      <c r="C217" t="s">
        <v>1215</v>
      </c>
      <c r="D217" t="str">
        <f>IF(ISNUMBER(SEARCH("High",C217)), "High School","")</f>
        <v>High School</v>
      </c>
      <c r="E217">
        <v>4702220</v>
      </c>
      <c r="F217" t="s">
        <v>568</v>
      </c>
      <c r="G217" s="1">
        <v>44298</v>
      </c>
      <c r="H217" t="s">
        <v>1188</v>
      </c>
      <c r="I217">
        <v>2021</v>
      </c>
      <c r="J217" s="2">
        <v>0.63541666666666663</v>
      </c>
      <c r="K217" t="s">
        <v>82</v>
      </c>
      <c r="L217" t="s">
        <v>566</v>
      </c>
      <c r="M217" t="s">
        <v>377</v>
      </c>
      <c r="N217" s="4">
        <v>6975218</v>
      </c>
      <c r="O217" t="s">
        <v>56</v>
      </c>
      <c r="P217">
        <v>728</v>
      </c>
      <c r="Q217">
        <v>0</v>
      </c>
      <c r="R217">
        <v>1</v>
      </c>
      <c r="S217">
        <v>1</v>
      </c>
      <c r="T217" t="s">
        <v>114</v>
      </c>
      <c r="U217">
        <v>17</v>
      </c>
      <c r="V217" t="s">
        <v>58</v>
      </c>
      <c r="W217" t="s">
        <v>146</v>
      </c>
      <c r="Y217">
        <v>1</v>
      </c>
      <c r="AG217">
        <v>81</v>
      </c>
      <c r="AH217">
        <v>584</v>
      </c>
      <c r="AI217">
        <v>41</v>
      </c>
      <c r="AJ217">
        <v>1</v>
      </c>
      <c r="AK217">
        <v>0</v>
      </c>
      <c r="AL217">
        <v>0</v>
      </c>
      <c r="AM217">
        <v>21</v>
      </c>
      <c r="AN217">
        <v>1</v>
      </c>
      <c r="AO217" t="s">
        <v>1216</v>
      </c>
      <c r="AQ217">
        <v>35.990099999999998</v>
      </c>
      <c r="AR217">
        <v>-83.887</v>
      </c>
      <c r="AS217">
        <v>59.3</v>
      </c>
      <c r="AT217">
        <v>9</v>
      </c>
      <c r="AU217">
        <v>12</v>
      </c>
      <c r="AV217">
        <v>472</v>
      </c>
      <c r="AW217" t="s">
        <v>568</v>
      </c>
      <c r="AX217">
        <v>47</v>
      </c>
      <c r="AY217">
        <v>47093</v>
      </c>
      <c r="AZ217">
        <v>12</v>
      </c>
    </row>
    <row r="218" spans="1:52" x14ac:dyDescent="0.3">
      <c r="A218">
        <v>267</v>
      </c>
      <c r="B218" s="3">
        <v>363033000000</v>
      </c>
      <c r="C218" t="s">
        <v>1200</v>
      </c>
      <c r="D218" t="str">
        <f>IF(ISNUMBER(SEARCH("Middle",C218)), "Middle School","")</f>
        <v>Middle School</v>
      </c>
      <c r="E218">
        <v>3630330</v>
      </c>
      <c r="F218" t="s">
        <v>1201</v>
      </c>
      <c r="G218" s="1">
        <v>44256</v>
      </c>
      <c r="H218" t="s">
        <v>1188</v>
      </c>
      <c r="I218">
        <v>2021</v>
      </c>
      <c r="J218" s="2">
        <v>0.40277777777777773</v>
      </c>
      <c r="K218" t="s">
        <v>82</v>
      </c>
      <c r="L218" t="s">
        <v>1202</v>
      </c>
      <c r="M218" t="s">
        <v>263</v>
      </c>
      <c r="N218" s="4">
        <v>19835913</v>
      </c>
      <c r="O218" t="s">
        <v>56</v>
      </c>
      <c r="P218">
        <v>693</v>
      </c>
      <c r="Q218">
        <v>0</v>
      </c>
      <c r="R218">
        <v>1</v>
      </c>
      <c r="S218">
        <v>1</v>
      </c>
      <c r="T218" t="s">
        <v>70</v>
      </c>
      <c r="U218">
        <v>19</v>
      </c>
      <c r="V218" t="s">
        <v>58</v>
      </c>
      <c r="W218" t="s">
        <v>59</v>
      </c>
      <c r="X218" t="s">
        <v>1203</v>
      </c>
      <c r="AG218">
        <v>640</v>
      </c>
      <c r="AH218">
        <v>13</v>
      </c>
      <c r="AI218">
        <v>23</v>
      </c>
      <c r="AJ218">
        <v>6</v>
      </c>
      <c r="AK218">
        <v>0</v>
      </c>
      <c r="AL218">
        <v>0</v>
      </c>
      <c r="AM218">
        <v>11</v>
      </c>
      <c r="AN218">
        <v>0</v>
      </c>
      <c r="AO218" t="s">
        <v>1204</v>
      </c>
      <c r="AP218" t="s">
        <v>1205</v>
      </c>
      <c r="AQ218">
        <v>43.219700000000003</v>
      </c>
      <c r="AR218">
        <v>-77.303600000000003</v>
      </c>
      <c r="AS218">
        <v>67.09</v>
      </c>
      <c r="AT218">
        <v>5</v>
      </c>
      <c r="AU218">
        <v>8</v>
      </c>
      <c r="AV218">
        <v>268</v>
      </c>
      <c r="AW218" t="s">
        <v>425</v>
      </c>
      <c r="AX218">
        <v>36</v>
      </c>
      <c r="AY218">
        <v>36117</v>
      </c>
      <c r="AZ218">
        <v>21</v>
      </c>
    </row>
    <row r="219" spans="1:52" x14ac:dyDescent="0.3">
      <c r="A219">
        <v>271</v>
      </c>
      <c r="B219" s="3">
        <v>100162000000</v>
      </c>
      <c r="C219" t="s">
        <v>1221</v>
      </c>
      <c r="D219" t="str">
        <f>IF(ISNUMBER(SEARCH("Middle",C219)), "Middle School","")</f>
        <v>Middle School</v>
      </c>
      <c r="E219">
        <v>1001620</v>
      </c>
      <c r="F219" t="s">
        <v>1222</v>
      </c>
      <c r="G219" s="1">
        <v>44313</v>
      </c>
      <c r="H219" t="s">
        <v>1188</v>
      </c>
      <c r="I219">
        <v>2021</v>
      </c>
      <c r="J219" s="2">
        <v>0.43402777777777773</v>
      </c>
      <c r="K219" t="s">
        <v>53</v>
      </c>
      <c r="L219" t="s">
        <v>1223</v>
      </c>
      <c r="M219" t="s">
        <v>1224</v>
      </c>
      <c r="N219" s="4">
        <v>1003384</v>
      </c>
      <c r="O219" t="s">
        <v>56</v>
      </c>
      <c r="P219">
        <v>984</v>
      </c>
      <c r="Q219">
        <v>1</v>
      </c>
      <c r="R219">
        <v>0</v>
      </c>
      <c r="S219">
        <v>1</v>
      </c>
      <c r="T219" t="s">
        <v>70</v>
      </c>
      <c r="U219">
        <v>47</v>
      </c>
      <c r="V219" t="s">
        <v>58</v>
      </c>
      <c r="W219" t="s">
        <v>146</v>
      </c>
      <c r="AG219">
        <v>571</v>
      </c>
      <c r="AH219">
        <v>286</v>
      </c>
      <c r="AI219">
        <v>76</v>
      </c>
      <c r="AJ219">
        <v>16</v>
      </c>
      <c r="AK219">
        <v>0</v>
      </c>
      <c r="AL219">
        <v>2</v>
      </c>
      <c r="AM219">
        <v>33</v>
      </c>
      <c r="AN219">
        <v>0</v>
      </c>
      <c r="AO219" t="s">
        <v>136</v>
      </c>
      <c r="AQ219">
        <v>39.302594999999997</v>
      </c>
      <c r="AR219">
        <v>-75.623778000000001</v>
      </c>
      <c r="AS219">
        <v>64</v>
      </c>
      <c r="AT219">
        <v>7</v>
      </c>
      <c r="AU219">
        <v>8</v>
      </c>
      <c r="AW219" t="s">
        <v>1225</v>
      </c>
      <c r="AX219">
        <v>10</v>
      </c>
      <c r="AY219">
        <v>10001</v>
      </c>
      <c r="AZ219">
        <v>41</v>
      </c>
    </row>
    <row r="220" spans="1:52" x14ac:dyDescent="0.3">
      <c r="A220">
        <v>272</v>
      </c>
      <c r="B220" s="3">
        <v>360107000000</v>
      </c>
      <c r="C220" t="s">
        <v>1226</v>
      </c>
      <c r="D220" t="s">
        <v>1539</v>
      </c>
      <c r="E220">
        <v>3601065</v>
      </c>
      <c r="F220" t="s">
        <v>1226</v>
      </c>
      <c r="G220" s="1">
        <v>44315</v>
      </c>
      <c r="H220" t="s">
        <v>1188</v>
      </c>
      <c r="I220">
        <v>2021</v>
      </c>
      <c r="J220" s="2">
        <v>0.61458333333333337</v>
      </c>
      <c r="K220" t="s">
        <v>67</v>
      </c>
      <c r="L220" t="s">
        <v>1227</v>
      </c>
      <c r="M220" t="s">
        <v>263</v>
      </c>
      <c r="N220" s="4">
        <v>19835913</v>
      </c>
      <c r="O220" t="s">
        <v>56</v>
      </c>
      <c r="P220">
        <v>313</v>
      </c>
      <c r="Q220">
        <v>1</v>
      </c>
      <c r="R220">
        <v>0</v>
      </c>
      <c r="S220">
        <v>1</v>
      </c>
      <c r="T220" t="s">
        <v>70</v>
      </c>
      <c r="U220">
        <v>15</v>
      </c>
      <c r="V220" t="s">
        <v>58</v>
      </c>
      <c r="W220" t="s">
        <v>146</v>
      </c>
      <c r="AA220">
        <v>16</v>
      </c>
      <c r="AB220" t="s">
        <v>58</v>
      </c>
      <c r="AC220" t="s">
        <v>146</v>
      </c>
      <c r="AG220">
        <v>3</v>
      </c>
      <c r="AH220">
        <v>218</v>
      </c>
      <c r="AI220">
        <v>81</v>
      </c>
      <c r="AJ220">
        <v>1</v>
      </c>
      <c r="AK220">
        <v>10</v>
      </c>
      <c r="AL220">
        <v>0</v>
      </c>
      <c r="AM220">
        <v>0</v>
      </c>
      <c r="AN220">
        <v>0</v>
      </c>
      <c r="AQ220">
        <v>40.622472999999999</v>
      </c>
      <c r="AR220">
        <v>-73.954975000000005</v>
      </c>
      <c r="AS220">
        <v>24</v>
      </c>
      <c r="AT220">
        <v>10</v>
      </c>
      <c r="AU220">
        <v>12</v>
      </c>
      <c r="AV220">
        <v>268</v>
      </c>
      <c r="AW220" t="s">
        <v>1228</v>
      </c>
      <c r="AX220">
        <v>36</v>
      </c>
      <c r="AY220">
        <v>36047</v>
      </c>
      <c r="AZ220">
        <v>11</v>
      </c>
    </row>
    <row r="221" spans="1:52" x14ac:dyDescent="0.3">
      <c r="A221">
        <v>273</v>
      </c>
      <c r="B221" s="3">
        <v>180567000000</v>
      </c>
      <c r="C221" t="s">
        <v>1229</v>
      </c>
      <c r="D221" t="str">
        <f>IF(ISNUMBER(SEARCH("Elementary",C221)), "Elementary School","")</f>
        <v>Elementary School</v>
      </c>
      <c r="E221">
        <v>1805670</v>
      </c>
      <c r="F221" t="s">
        <v>1230</v>
      </c>
      <c r="G221" s="1">
        <v>44316</v>
      </c>
      <c r="H221" t="s">
        <v>1188</v>
      </c>
      <c r="I221">
        <v>2021</v>
      </c>
      <c r="J221" s="2">
        <v>0.54166666666666663</v>
      </c>
      <c r="K221" t="s">
        <v>95</v>
      </c>
      <c r="L221" t="s">
        <v>1231</v>
      </c>
      <c r="M221" t="s">
        <v>225</v>
      </c>
      <c r="N221" s="4">
        <v>6805985</v>
      </c>
      <c r="O221" t="s">
        <v>56</v>
      </c>
      <c r="P221">
        <v>672</v>
      </c>
      <c r="Q221">
        <v>0</v>
      </c>
      <c r="R221">
        <v>1</v>
      </c>
      <c r="S221">
        <v>1</v>
      </c>
      <c r="T221" t="s">
        <v>70</v>
      </c>
      <c r="U221">
        <v>32</v>
      </c>
      <c r="V221" t="s">
        <v>58</v>
      </c>
      <c r="AG221">
        <v>192</v>
      </c>
      <c r="AH221">
        <v>247</v>
      </c>
      <c r="AI221">
        <v>157</v>
      </c>
      <c r="AJ221">
        <v>18</v>
      </c>
      <c r="AK221">
        <v>0</v>
      </c>
      <c r="AL221">
        <v>1</v>
      </c>
      <c r="AM221">
        <v>57</v>
      </c>
      <c r="AN221">
        <v>0</v>
      </c>
      <c r="AQ221">
        <v>39.908099999999997</v>
      </c>
      <c r="AR221">
        <v>-86.018000000000001</v>
      </c>
      <c r="AS221">
        <v>34</v>
      </c>
      <c r="AT221">
        <v>1</v>
      </c>
      <c r="AU221">
        <v>6</v>
      </c>
      <c r="AV221">
        <v>393</v>
      </c>
      <c r="AW221" t="s">
        <v>1042</v>
      </c>
      <c r="AX221">
        <v>18</v>
      </c>
      <c r="AY221">
        <v>18097</v>
      </c>
      <c r="AZ221">
        <v>11</v>
      </c>
    </row>
    <row r="222" spans="1:52" x14ac:dyDescent="0.3">
      <c r="A222">
        <v>276</v>
      </c>
      <c r="B222" s="3">
        <v>482364000000</v>
      </c>
      <c r="C222" t="s">
        <v>677</v>
      </c>
      <c r="D222" t="str">
        <f>IF(ISNUMBER(SEARCH("High",C222)), "High School","")</f>
        <v>High School</v>
      </c>
      <c r="E222">
        <v>4823640</v>
      </c>
      <c r="F222" t="s">
        <v>1241</v>
      </c>
      <c r="G222" s="1">
        <v>44356</v>
      </c>
      <c r="H222" t="s">
        <v>1188</v>
      </c>
      <c r="I222">
        <v>2021</v>
      </c>
      <c r="J222" s="2">
        <v>0.4375</v>
      </c>
      <c r="K222" t="s">
        <v>90</v>
      </c>
      <c r="L222" t="s">
        <v>665</v>
      </c>
      <c r="M222" t="s">
        <v>205</v>
      </c>
      <c r="N222" s="4">
        <v>29527941</v>
      </c>
      <c r="O222" t="s">
        <v>56</v>
      </c>
      <c r="P222">
        <v>976</v>
      </c>
      <c r="Q222">
        <v>0</v>
      </c>
      <c r="R222">
        <v>1</v>
      </c>
      <c r="S222">
        <v>1</v>
      </c>
      <c r="T222" t="s">
        <v>70</v>
      </c>
      <c r="AG222">
        <v>6</v>
      </c>
      <c r="AH222">
        <v>570</v>
      </c>
      <c r="AI222">
        <v>397</v>
      </c>
      <c r="AJ222">
        <v>0</v>
      </c>
      <c r="AK222">
        <v>2</v>
      </c>
      <c r="AL222">
        <v>0</v>
      </c>
      <c r="AM222">
        <v>1</v>
      </c>
      <c r="AN222">
        <v>0</v>
      </c>
      <c r="AQ222">
        <v>29.867028999999999</v>
      </c>
      <c r="AR222">
        <v>-95.259743999999998</v>
      </c>
      <c r="AS222">
        <v>58.28</v>
      </c>
      <c r="AT222">
        <v>9</v>
      </c>
      <c r="AU222">
        <v>12</v>
      </c>
      <c r="AV222">
        <v>931</v>
      </c>
      <c r="AW222" t="s">
        <v>668</v>
      </c>
      <c r="AX222">
        <v>48</v>
      </c>
      <c r="AY222">
        <v>48201</v>
      </c>
      <c r="AZ222">
        <v>11</v>
      </c>
    </row>
    <row r="223" spans="1:52" x14ac:dyDescent="0.3">
      <c r="A223">
        <v>284</v>
      </c>
      <c r="C223" t="s">
        <v>1153</v>
      </c>
      <c r="D223" t="str">
        <f>IF(ISNUMBER(SEARCH("High",C223)), "High School","")</f>
        <v>High School</v>
      </c>
      <c r="E223">
        <v>622710</v>
      </c>
      <c r="G223" s="1">
        <v>43782</v>
      </c>
      <c r="H223" t="s">
        <v>1141</v>
      </c>
      <c r="I223">
        <v>2019</v>
      </c>
      <c r="J223" s="2">
        <v>0.375</v>
      </c>
      <c r="K223" t="s">
        <v>90</v>
      </c>
      <c r="L223" t="s">
        <v>241</v>
      </c>
      <c r="M223" t="s">
        <v>121</v>
      </c>
      <c r="N223" s="4">
        <v>39237836</v>
      </c>
      <c r="O223" t="s">
        <v>56</v>
      </c>
      <c r="P223">
        <v>1876</v>
      </c>
      <c r="Q223">
        <v>1</v>
      </c>
      <c r="R223">
        <v>0</v>
      </c>
      <c r="S223">
        <v>1</v>
      </c>
      <c r="T223" t="s">
        <v>70</v>
      </c>
      <c r="X223" t="s">
        <v>1154</v>
      </c>
      <c r="AG223">
        <v>9</v>
      </c>
      <c r="AH223">
        <v>20</v>
      </c>
      <c r="AI223">
        <v>1836</v>
      </c>
      <c r="AJ223">
        <v>8</v>
      </c>
      <c r="AK223">
        <v>2</v>
      </c>
      <c r="AL223">
        <v>0</v>
      </c>
      <c r="AM223">
        <v>1</v>
      </c>
      <c r="AN223">
        <v>1</v>
      </c>
      <c r="AP223" t="s">
        <v>334</v>
      </c>
      <c r="AQ223">
        <v>34.041846</v>
      </c>
      <c r="AR223">
        <v>-118.17553100000001</v>
      </c>
      <c r="AS223">
        <v>97.75</v>
      </c>
      <c r="AT223">
        <v>9</v>
      </c>
      <c r="AU223">
        <v>12</v>
      </c>
      <c r="AV223">
        <v>1802</v>
      </c>
      <c r="AW223" t="s">
        <v>243</v>
      </c>
      <c r="AX223">
        <v>6</v>
      </c>
      <c r="AY223">
        <v>6037</v>
      </c>
      <c r="AZ223">
        <v>21</v>
      </c>
    </row>
    <row r="224" spans="1:52" x14ac:dyDescent="0.3">
      <c r="A224">
        <v>285</v>
      </c>
      <c r="B224">
        <v>540385</v>
      </c>
      <c r="C224" t="s">
        <v>1242</v>
      </c>
      <c r="D224" t="s">
        <v>1542</v>
      </c>
      <c r="G224" s="1">
        <v>44414</v>
      </c>
      <c r="H224" t="s">
        <v>1243</v>
      </c>
      <c r="I224">
        <v>2021</v>
      </c>
      <c r="J224" s="2">
        <v>0.54166666666666663</v>
      </c>
      <c r="K224" t="s">
        <v>95</v>
      </c>
      <c r="L224" t="s">
        <v>1244</v>
      </c>
      <c r="M224" t="s">
        <v>69</v>
      </c>
      <c r="N224" s="4">
        <v>4624047</v>
      </c>
      <c r="O224" t="s">
        <v>216</v>
      </c>
      <c r="P224">
        <v>660</v>
      </c>
      <c r="Q224">
        <v>0</v>
      </c>
      <c r="R224">
        <v>1</v>
      </c>
      <c r="S224">
        <v>1</v>
      </c>
      <c r="T224" t="s">
        <v>70</v>
      </c>
      <c r="U224">
        <v>17</v>
      </c>
      <c r="V224" t="s">
        <v>58</v>
      </c>
      <c r="W224" t="s">
        <v>146</v>
      </c>
      <c r="AG224">
        <v>556</v>
      </c>
      <c r="AH224">
        <v>10</v>
      </c>
      <c r="AI224">
        <v>5</v>
      </c>
      <c r="AJ224">
        <v>3</v>
      </c>
      <c r="AK224">
        <v>3</v>
      </c>
      <c r="AL224">
        <v>0</v>
      </c>
      <c r="AM224">
        <v>29</v>
      </c>
      <c r="AN224">
        <v>0</v>
      </c>
      <c r="AQ224">
        <v>29.607520000000001</v>
      </c>
      <c r="AR224">
        <v>-90.734161</v>
      </c>
      <c r="AS224">
        <v>35</v>
      </c>
      <c r="AT224" t="s">
        <v>130</v>
      </c>
      <c r="AU224">
        <v>7</v>
      </c>
      <c r="AW224" t="s">
        <v>1245</v>
      </c>
      <c r="AX224">
        <v>22</v>
      </c>
      <c r="AY224">
        <v>22109</v>
      </c>
      <c r="AZ224">
        <v>13</v>
      </c>
    </row>
    <row r="225" spans="1:52" x14ac:dyDescent="0.3">
      <c r="A225">
        <v>286</v>
      </c>
      <c r="B225" s="3">
        <v>130174000000</v>
      </c>
      <c r="C225" t="s">
        <v>1246</v>
      </c>
      <c r="D225" t="str">
        <f>IF(ISNUMBER(SEARCH("High",C225)), "High School","")</f>
        <v>High School</v>
      </c>
      <c r="E225">
        <v>1301740</v>
      </c>
      <c r="F225" t="s">
        <v>748</v>
      </c>
      <c r="G225" s="1">
        <v>44420</v>
      </c>
      <c r="H225" t="s">
        <v>1243</v>
      </c>
      <c r="I225">
        <v>2021</v>
      </c>
      <c r="J225" s="2">
        <v>0.625</v>
      </c>
      <c r="K225" t="s">
        <v>67</v>
      </c>
      <c r="L225" t="s">
        <v>1247</v>
      </c>
      <c r="M225" t="s">
        <v>77</v>
      </c>
      <c r="N225" s="4">
        <v>10799566</v>
      </c>
      <c r="O225" t="s">
        <v>56</v>
      </c>
      <c r="P225">
        <v>1362</v>
      </c>
      <c r="Q225">
        <v>0</v>
      </c>
      <c r="R225">
        <v>1</v>
      </c>
      <c r="S225">
        <v>1</v>
      </c>
      <c r="T225" t="s">
        <v>70</v>
      </c>
      <c r="X225" t="s">
        <v>478</v>
      </c>
      <c r="AG225">
        <v>9</v>
      </c>
      <c r="AH225">
        <v>1253</v>
      </c>
      <c r="AI225">
        <v>74</v>
      </c>
      <c r="AJ225">
        <v>2</v>
      </c>
      <c r="AK225">
        <v>2</v>
      </c>
      <c r="AL225">
        <v>1</v>
      </c>
      <c r="AM225">
        <v>21</v>
      </c>
      <c r="AN225">
        <v>1</v>
      </c>
      <c r="AO225" t="s">
        <v>136</v>
      </c>
      <c r="AQ225">
        <v>33.725000000000001</v>
      </c>
      <c r="AR225">
        <v>-84.129400000000004</v>
      </c>
      <c r="AS225">
        <v>88.5</v>
      </c>
      <c r="AT225">
        <v>9</v>
      </c>
      <c r="AU225">
        <v>12</v>
      </c>
      <c r="AV225">
        <v>1075</v>
      </c>
      <c r="AW225" t="s">
        <v>748</v>
      </c>
      <c r="AX225">
        <v>13</v>
      </c>
      <c r="AY225">
        <v>13089</v>
      </c>
      <c r="AZ225">
        <v>21</v>
      </c>
    </row>
    <row r="226" spans="1:52" x14ac:dyDescent="0.3">
      <c r="A226">
        <v>287</v>
      </c>
      <c r="B226" s="3">
        <v>350006000000</v>
      </c>
      <c r="C226" t="s">
        <v>1248</v>
      </c>
      <c r="D226" t="str">
        <f>IF(ISNUMBER(SEARCH("Middle",C226)), "Middle School","")</f>
        <v>Middle School</v>
      </c>
      <c r="E226">
        <v>3500060</v>
      </c>
      <c r="F226" t="s">
        <v>1045</v>
      </c>
      <c r="G226" s="1">
        <v>44421</v>
      </c>
      <c r="H226" t="s">
        <v>1243</v>
      </c>
      <c r="I226">
        <v>2021</v>
      </c>
      <c r="J226" s="2">
        <v>0.53125</v>
      </c>
      <c r="K226" t="s">
        <v>95</v>
      </c>
      <c r="L226" t="s">
        <v>1046</v>
      </c>
      <c r="M226" t="s">
        <v>97</v>
      </c>
      <c r="N226" s="4">
        <v>2115877</v>
      </c>
      <c r="O226" t="s">
        <v>56</v>
      </c>
      <c r="P226">
        <v>442</v>
      </c>
      <c r="Q226">
        <v>1</v>
      </c>
      <c r="R226">
        <v>0</v>
      </c>
      <c r="S226">
        <v>1</v>
      </c>
      <c r="T226" t="s">
        <v>70</v>
      </c>
      <c r="U226">
        <v>13</v>
      </c>
      <c r="V226" t="s">
        <v>58</v>
      </c>
      <c r="AG226">
        <v>14</v>
      </c>
      <c r="AH226">
        <v>6</v>
      </c>
      <c r="AI226">
        <v>407</v>
      </c>
      <c r="AJ226">
        <v>4</v>
      </c>
      <c r="AK226">
        <v>5</v>
      </c>
      <c r="AL226">
        <v>1</v>
      </c>
      <c r="AM226">
        <v>5</v>
      </c>
      <c r="AN226">
        <v>0</v>
      </c>
      <c r="AO226" t="s">
        <v>136</v>
      </c>
      <c r="AQ226">
        <v>35.086143999999997</v>
      </c>
      <c r="AR226">
        <v>-106.661691</v>
      </c>
      <c r="AS226">
        <v>34.4</v>
      </c>
      <c r="AT226">
        <v>6</v>
      </c>
      <c r="AU226">
        <v>8</v>
      </c>
      <c r="AV226">
        <v>442</v>
      </c>
      <c r="AW226" t="s">
        <v>1048</v>
      </c>
      <c r="AX226">
        <v>35</v>
      </c>
      <c r="AY226">
        <v>35001</v>
      </c>
      <c r="AZ226">
        <v>11</v>
      </c>
    </row>
    <row r="227" spans="1:52" x14ac:dyDescent="0.3">
      <c r="A227">
        <v>289</v>
      </c>
      <c r="B227" s="3">
        <v>370333000000</v>
      </c>
      <c r="C227" t="s">
        <v>1252</v>
      </c>
      <c r="D227" t="str">
        <f>IF(ISNUMBER(SEARCH("High",C227)), "High School","")</f>
        <v>High School</v>
      </c>
      <c r="E227">
        <v>3703330</v>
      </c>
      <c r="F227" t="s">
        <v>1253</v>
      </c>
      <c r="G227" s="1">
        <v>44438</v>
      </c>
      <c r="H227" t="s">
        <v>1243</v>
      </c>
      <c r="I227">
        <v>2021</v>
      </c>
      <c r="J227" s="2">
        <v>0.45833333333333331</v>
      </c>
      <c r="K227" t="s">
        <v>82</v>
      </c>
      <c r="L227" t="s">
        <v>1254</v>
      </c>
      <c r="M227" t="s">
        <v>326</v>
      </c>
      <c r="N227" s="4">
        <v>10551162</v>
      </c>
      <c r="O227" t="s">
        <v>56</v>
      </c>
      <c r="P227">
        <v>1529</v>
      </c>
      <c r="Q227">
        <v>0</v>
      </c>
      <c r="R227">
        <v>1</v>
      </c>
      <c r="S227">
        <v>1</v>
      </c>
      <c r="T227" t="s">
        <v>70</v>
      </c>
      <c r="U227">
        <v>15</v>
      </c>
      <c r="V227" t="s">
        <v>58</v>
      </c>
      <c r="W227" t="s">
        <v>146</v>
      </c>
      <c r="AG227">
        <v>658</v>
      </c>
      <c r="AH227">
        <v>488</v>
      </c>
      <c r="AI227">
        <v>290</v>
      </c>
      <c r="AJ227">
        <v>20</v>
      </c>
      <c r="AK227">
        <v>4</v>
      </c>
      <c r="AL227">
        <v>1</v>
      </c>
      <c r="AM227">
        <v>68</v>
      </c>
      <c r="AN227">
        <v>0</v>
      </c>
      <c r="AQ227">
        <v>34.237400000000001</v>
      </c>
      <c r="AR227">
        <v>-77.932400000000001</v>
      </c>
      <c r="AS227">
        <v>95.53</v>
      </c>
      <c r="AT227">
        <v>9</v>
      </c>
      <c r="AU227">
        <v>12</v>
      </c>
      <c r="AV227">
        <v>1504</v>
      </c>
      <c r="AW227" t="s">
        <v>1255</v>
      </c>
      <c r="AX227">
        <v>37</v>
      </c>
      <c r="AY227">
        <v>37129</v>
      </c>
      <c r="AZ227">
        <v>12</v>
      </c>
    </row>
    <row r="228" spans="1:52" x14ac:dyDescent="0.3">
      <c r="A228">
        <v>290</v>
      </c>
      <c r="B228" s="3">
        <v>370150000000</v>
      </c>
      <c r="C228" t="s">
        <v>1256</v>
      </c>
      <c r="D228" t="str">
        <f>IF(ISNUMBER(SEARCH("High",C228)), "High School","")</f>
        <v>High School</v>
      </c>
      <c r="E228">
        <v>3701500</v>
      </c>
      <c r="F228" t="s">
        <v>1257</v>
      </c>
      <c r="G228" s="1">
        <v>44440</v>
      </c>
      <c r="H228" t="s">
        <v>1243</v>
      </c>
      <c r="I228">
        <v>2021</v>
      </c>
      <c r="J228" s="2">
        <v>0.5</v>
      </c>
      <c r="K228" t="s">
        <v>90</v>
      </c>
      <c r="L228" t="s">
        <v>756</v>
      </c>
      <c r="M228" t="s">
        <v>326</v>
      </c>
      <c r="N228" s="4">
        <v>10551162</v>
      </c>
      <c r="O228" t="s">
        <v>56</v>
      </c>
      <c r="P228">
        <v>1491</v>
      </c>
      <c r="Q228">
        <v>1</v>
      </c>
      <c r="R228">
        <v>0</v>
      </c>
      <c r="S228">
        <v>1</v>
      </c>
      <c r="T228" t="s">
        <v>70</v>
      </c>
      <c r="U228">
        <v>15</v>
      </c>
      <c r="V228" t="s">
        <v>58</v>
      </c>
      <c r="AG228">
        <v>509</v>
      </c>
      <c r="AH228">
        <v>628</v>
      </c>
      <c r="AI228">
        <v>252</v>
      </c>
      <c r="AJ228">
        <v>16</v>
      </c>
      <c r="AK228">
        <v>5</v>
      </c>
      <c r="AL228">
        <v>2</v>
      </c>
      <c r="AM228">
        <v>79</v>
      </c>
      <c r="AN228">
        <v>0</v>
      </c>
      <c r="AQ228">
        <v>36.126800000000003</v>
      </c>
      <c r="AR228">
        <v>-80.313199999999995</v>
      </c>
      <c r="AS228">
        <v>81.760000000000005</v>
      </c>
      <c r="AT228">
        <v>9</v>
      </c>
      <c r="AU228">
        <v>12</v>
      </c>
      <c r="AV228">
        <v>595</v>
      </c>
      <c r="AW228" t="s">
        <v>757</v>
      </c>
      <c r="AX228">
        <v>37</v>
      </c>
      <c r="AY228">
        <v>37067</v>
      </c>
      <c r="AZ228">
        <v>12</v>
      </c>
    </row>
    <row r="229" spans="1:52" x14ac:dyDescent="0.3">
      <c r="A229">
        <v>294</v>
      </c>
      <c r="B229" s="3">
        <v>280315000000</v>
      </c>
      <c r="C229" t="s">
        <v>1268</v>
      </c>
      <c r="D229" t="str">
        <f>IF(ISNUMBER(SEARCH("Elementary",C229)), "Elementary School","")</f>
        <v>Elementary School</v>
      </c>
      <c r="E229">
        <v>2803150</v>
      </c>
      <c r="F229" t="s">
        <v>1269</v>
      </c>
      <c r="G229" s="1">
        <v>44469</v>
      </c>
      <c r="H229" t="s">
        <v>1243</v>
      </c>
      <c r="I229">
        <v>2021</v>
      </c>
      <c r="J229" s="2">
        <v>0.57291666666666663</v>
      </c>
      <c r="K229" t="s">
        <v>67</v>
      </c>
      <c r="L229" t="s">
        <v>750</v>
      </c>
      <c r="M229" t="s">
        <v>135</v>
      </c>
      <c r="N229" s="4">
        <v>2949965</v>
      </c>
      <c r="O229" t="s">
        <v>56</v>
      </c>
      <c r="P229">
        <v>787</v>
      </c>
      <c r="Q229">
        <v>0</v>
      </c>
      <c r="R229">
        <v>1</v>
      </c>
      <c r="S229">
        <v>1</v>
      </c>
      <c r="T229" t="s">
        <v>114</v>
      </c>
      <c r="V229" t="s">
        <v>58</v>
      </c>
      <c r="X229" t="s">
        <v>60</v>
      </c>
      <c r="Y229">
        <v>0</v>
      </c>
      <c r="AG229">
        <v>568</v>
      </c>
      <c r="AH229">
        <v>167</v>
      </c>
      <c r="AI229">
        <v>14</v>
      </c>
      <c r="AJ229">
        <v>10</v>
      </c>
      <c r="AK229">
        <v>22</v>
      </c>
      <c r="AL229">
        <v>2</v>
      </c>
      <c r="AM229">
        <v>4</v>
      </c>
      <c r="AN229">
        <v>0</v>
      </c>
      <c r="AO229" t="s">
        <v>136</v>
      </c>
      <c r="AP229" t="s">
        <v>1270</v>
      </c>
      <c r="AQ229">
        <v>32.446370999999999</v>
      </c>
      <c r="AR229">
        <v>-89.105537999999996</v>
      </c>
      <c r="AS229">
        <v>60</v>
      </c>
      <c r="AT229" t="s">
        <v>130</v>
      </c>
      <c r="AU229">
        <v>5</v>
      </c>
      <c r="AV229">
        <v>449</v>
      </c>
      <c r="AW229" t="s">
        <v>1271</v>
      </c>
      <c r="AX229">
        <v>28</v>
      </c>
      <c r="AY229">
        <v>28101</v>
      </c>
      <c r="AZ229">
        <v>42</v>
      </c>
    </row>
    <row r="230" spans="1:52" x14ac:dyDescent="0.3">
      <c r="A230">
        <v>295</v>
      </c>
      <c r="B230" s="3">
        <v>470015000000</v>
      </c>
      <c r="C230" t="s">
        <v>1272</v>
      </c>
      <c r="D230" t="s">
        <v>1542</v>
      </c>
      <c r="E230">
        <v>4700148</v>
      </c>
      <c r="F230" t="s">
        <v>547</v>
      </c>
      <c r="G230" s="1">
        <v>44469</v>
      </c>
      <c r="H230" t="s">
        <v>1243</v>
      </c>
      <c r="I230">
        <v>2021</v>
      </c>
      <c r="J230" s="2">
        <v>0.41666666666666669</v>
      </c>
      <c r="K230" t="s">
        <v>67</v>
      </c>
      <c r="L230" t="s">
        <v>545</v>
      </c>
      <c r="M230" t="s">
        <v>377</v>
      </c>
      <c r="N230" s="4">
        <v>6975218</v>
      </c>
      <c r="O230" t="s">
        <v>56</v>
      </c>
      <c r="P230">
        <v>495</v>
      </c>
      <c r="Q230">
        <v>0</v>
      </c>
      <c r="R230">
        <v>1</v>
      </c>
      <c r="S230">
        <v>1</v>
      </c>
      <c r="T230" t="s">
        <v>70</v>
      </c>
      <c r="U230">
        <v>13</v>
      </c>
      <c r="V230" t="s">
        <v>58</v>
      </c>
      <c r="AG230">
        <v>1</v>
      </c>
      <c r="AH230">
        <v>488</v>
      </c>
      <c r="AI230">
        <v>0</v>
      </c>
      <c r="AJ230">
        <v>0</v>
      </c>
      <c r="AK230">
        <v>0</v>
      </c>
      <c r="AL230">
        <v>0</v>
      </c>
      <c r="AM230">
        <v>6</v>
      </c>
      <c r="AN230">
        <v>0</v>
      </c>
      <c r="AQ230">
        <v>35.118899999999996</v>
      </c>
      <c r="AR230">
        <v>-90.028300000000002</v>
      </c>
      <c r="AS230">
        <v>29.3</v>
      </c>
      <c r="AT230" t="s">
        <v>130</v>
      </c>
      <c r="AU230">
        <v>8</v>
      </c>
      <c r="AW230" t="s">
        <v>547</v>
      </c>
      <c r="AX230">
        <v>47</v>
      </c>
      <c r="AY230">
        <v>47157</v>
      </c>
      <c r="AZ230">
        <v>11</v>
      </c>
    </row>
    <row r="231" spans="1:52" x14ac:dyDescent="0.3">
      <c r="A231">
        <v>296</v>
      </c>
      <c r="B231" s="3">
        <v>480021000000</v>
      </c>
      <c r="C231" t="s">
        <v>1273</v>
      </c>
      <c r="D231" t="s">
        <v>1542</v>
      </c>
      <c r="E231">
        <v>4800209</v>
      </c>
      <c r="F231" t="s">
        <v>1274</v>
      </c>
      <c r="G231" s="1">
        <v>44470</v>
      </c>
      <c r="H231" t="s">
        <v>1243</v>
      </c>
      <c r="I231">
        <v>2021</v>
      </c>
      <c r="J231" s="2">
        <v>0.48958333333333331</v>
      </c>
      <c r="K231" t="s">
        <v>95</v>
      </c>
      <c r="L231" t="s">
        <v>665</v>
      </c>
      <c r="M231" t="s">
        <v>205</v>
      </c>
      <c r="N231" s="4">
        <v>29527941</v>
      </c>
      <c r="O231" t="s">
        <v>56</v>
      </c>
      <c r="P231">
        <v>1010</v>
      </c>
      <c r="Q231">
        <v>0</v>
      </c>
      <c r="R231">
        <v>1</v>
      </c>
      <c r="S231">
        <v>1</v>
      </c>
      <c r="T231" t="s">
        <v>70</v>
      </c>
      <c r="U231">
        <v>25</v>
      </c>
      <c r="V231" t="s">
        <v>58</v>
      </c>
      <c r="X231" t="s">
        <v>381</v>
      </c>
      <c r="AG231">
        <v>4</v>
      </c>
      <c r="AH231">
        <v>53</v>
      </c>
      <c r="AI231">
        <v>951</v>
      </c>
      <c r="AJ231">
        <v>1</v>
      </c>
      <c r="AK231">
        <v>1</v>
      </c>
      <c r="AL231">
        <v>0</v>
      </c>
      <c r="AM231">
        <v>0</v>
      </c>
      <c r="AN231">
        <v>0</v>
      </c>
      <c r="AQ231">
        <v>29.605765999999999</v>
      </c>
      <c r="AR231">
        <v>-95.443060000000003</v>
      </c>
      <c r="AS231">
        <v>61.51</v>
      </c>
      <c r="AT231">
        <v>6</v>
      </c>
      <c r="AU231">
        <v>12</v>
      </c>
      <c r="AV231">
        <v>922</v>
      </c>
      <c r="AW231" t="s">
        <v>668</v>
      </c>
      <c r="AX231">
        <v>48</v>
      </c>
      <c r="AY231">
        <v>48201</v>
      </c>
      <c r="AZ231">
        <v>21</v>
      </c>
    </row>
    <row r="232" spans="1:52" x14ac:dyDescent="0.3">
      <c r="A232">
        <v>303</v>
      </c>
      <c r="B232">
        <v>40633001882</v>
      </c>
      <c r="C232" t="s">
        <v>1300</v>
      </c>
      <c r="D232" t="str">
        <f>IF(ISNUMBER(SEARCH("High",C232)), "High School","")</f>
        <v>High School</v>
      </c>
      <c r="E232">
        <v>406330</v>
      </c>
      <c r="F232" t="s">
        <v>1301</v>
      </c>
      <c r="G232" s="1">
        <v>44529</v>
      </c>
      <c r="H232" t="s">
        <v>1243</v>
      </c>
      <c r="I232">
        <v>2021</v>
      </c>
      <c r="J232" s="2">
        <v>0.625</v>
      </c>
      <c r="K232" t="s">
        <v>82</v>
      </c>
      <c r="L232" t="s">
        <v>1302</v>
      </c>
      <c r="M232" t="s">
        <v>160</v>
      </c>
      <c r="N232" s="4">
        <v>7276316</v>
      </c>
      <c r="O232" t="s">
        <v>56</v>
      </c>
      <c r="P232">
        <v>2590</v>
      </c>
      <c r="Q232">
        <v>0</v>
      </c>
      <c r="R232">
        <v>1</v>
      </c>
      <c r="S232">
        <v>1</v>
      </c>
      <c r="T232" t="s">
        <v>70</v>
      </c>
      <c r="U232">
        <v>15</v>
      </c>
      <c r="V232" t="s">
        <v>58</v>
      </c>
      <c r="X232" t="s">
        <v>60</v>
      </c>
      <c r="AG232">
        <v>115</v>
      </c>
      <c r="AH232">
        <v>396</v>
      </c>
      <c r="AI232">
        <v>1816</v>
      </c>
      <c r="AJ232">
        <v>53</v>
      </c>
      <c r="AK232">
        <v>129</v>
      </c>
      <c r="AL232">
        <v>8</v>
      </c>
      <c r="AM232">
        <v>73</v>
      </c>
      <c r="AN232">
        <v>0</v>
      </c>
      <c r="AQ232">
        <v>33.375700000000002</v>
      </c>
      <c r="AR232">
        <v>-112.1463</v>
      </c>
      <c r="AS232">
        <v>123.4</v>
      </c>
      <c r="AT232">
        <v>9</v>
      </c>
      <c r="AU232">
        <v>12</v>
      </c>
      <c r="AV232">
        <v>1605</v>
      </c>
      <c r="AW232" t="s">
        <v>892</v>
      </c>
      <c r="AX232">
        <v>4</v>
      </c>
      <c r="AY232">
        <v>4013</v>
      </c>
      <c r="AZ232">
        <v>11</v>
      </c>
    </row>
    <row r="233" spans="1:52" x14ac:dyDescent="0.3">
      <c r="A233">
        <v>305</v>
      </c>
      <c r="B233" s="3">
        <v>350006000000</v>
      </c>
      <c r="C233" t="s">
        <v>1044</v>
      </c>
      <c r="D233" t="str">
        <f>IF(ISNUMBER(SEARCH("High",C233)), "High School","")</f>
        <v>High School</v>
      </c>
      <c r="E233">
        <v>3500060</v>
      </c>
      <c r="F233" t="s">
        <v>1045</v>
      </c>
      <c r="G233" s="1">
        <v>43215</v>
      </c>
      <c r="H233" t="s">
        <v>965</v>
      </c>
      <c r="I233">
        <v>2018</v>
      </c>
      <c r="J233" s="2">
        <v>0.60416666666666663</v>
      </c>
      <c r="K233" t="s">
        <v>90</v>
      </c>
      <c r="L233" t="s">
        <v>1046</v>
      </c>
      <c r="M233" t="s">
        <v>97</v>
      </c>
      <c r="N233" s="4">
        <v>2115877</v>
      </c>
      <c r="O233" t="s">
        <v>56</v>
      </c>
      <c r="P233">
        <v>1163</v>
      </c>
      <c r="Q233">
        <v>0</v>
      </c>
      <c r="R233">
        <v>1</v>
      </c>
      <c r="S233">
        <v>1</v>
      </c>
      <c r="T233" t="s">
        <v>70</v>
      </c>
      <c r="V233" t="s">
        <v>58</v>
      </c>
      <c r="W233" t="s">
        <v>99</v>
      </c>
      <c r="X233" t="s">
        <v>817</v>
      </c>
      <c r="Y233">
        <v>0</v>
      </c>
      <c r="AG233">
        <v>98</v>
      </c>
      <c r="AH233">
        <v>100</v>
      </c>
      <c r="AI233">
        <v>818</v>
      </c>
      <c r="AJ233">
        <v>21</v>
      </c>
      <c r="AK233">
        <v>86</v>
      </c>
      <c r="AL233">
        <v>2</v>
      </c>
      <c r="AM233">
        <v>38</v>
      </c>
      <c r="AN233">
        <v>0</v>
      </c>
      <c r="AO233" t="s">
        <v>136</v>
      </c>
      <c r="AP233" t="s">
        <v>1047</v>
      </c>
      <c r="AQ233">
        <v>35.074840999999999</v>
      </c>
      <c r="AR233">
        <v>-106.59241299999999</v>
      </c>
      <c r="AS233">
        <v>80.19</v>
      </c>
      <c r="AT233">
        <v>9</v>
      </c>
      <c r="AU233">
        <v>12</v>
      </c>
      <c r="AV233">
        <v>1161</v>
      </c>
      <c r="AW233" t="s">
        <v>1048</v>
      </c>
      <c r="AX233">
        <v>35</v>
      </c>
      <c r="AY233">
        <v>35001</v>
      </c>
      <c r="AZ233">
        <v>11</v>
      </c>
    </row>
    <row r="234" spans="1:52" x14ac:dyDescent="0.3">
      <c r="A234">
        <v>315</v>
      </c>
      <c r="B234" s="3">
        <v>120171000000</v>
      </c>
      <c r="C234" t="s">
        <v>1321</v>
      </c>
      <c r="D234" t="str">
        <f>IF(ISNUMBER(SEARCH("High",C234)), "High School","")</f>
        <v>High School</v>
      </c>
      <c r="E234">
        <v>1201710</v>
      </c>
      <c r="F234" t="s">
        <v>1322</v>
      </c>
      <c r="G234" s="1">
        <v>44580</v>
      </c>
      <c r="H234" t="s">
        <v>1243</v>
      </c>
      <c r="I234">
        <v>2022</v>
      </c>
      <c r="J234" s="2">
        <v>0.5</v>
      </c>
      <c r="K234" t="s">
        <v>90</v>
      </c>
      <c r="L234" t="s">
        <v>1323</v>
      </c>
      <c r="M234" t="s">
        <v>113</v>
      </c>
      <c r="N234" s="4">
        <v>21781128</v>
      </c>
      <c r="O234" t="s">
        <v>56</v>
      </c>
      <c r="P234">
        <v>4062</v>
      </c>
      <c r="Q234">
        <v>0</v>
      </c>
      <c r="R234">
        <v>1</v>
      </c>
      <c r="S234">
        <v>1</v>
      </c>
      <c r="T234" t="s">
        <v>70</v>
      </c>
      <c r="U234">
        <v>16</v>
      </c>
      <c r="V234" t="s">
        <v>58</v>
      </c>
      <c r="W234" t="s">
        <v>146</v>
      </c>
      <c r="X234" t="s">
        <v>60</v>
      </c>
      <c r="AG234">
        <v>1377</v>
      </c>
      <c r="AH234">
        <v>1134</v>
      </c>
      <c r="AI234">
        <v>975</v>
      </c>
      <c r="AJ234">
        <v>385</v>
      </c>
      <c r="AK234">
        <v>14</v>
      </c>
      <c r="AL234">
        <v>11</v>
      </c>
      <c r="AM234">
        <v>166</v>
      </c>
      <c r="AN234">
        <v>0</v>
      </c>
      <c r="AO234" t="s">
        <v>327</v>
      </c>
      <c r="AQ234">
        <v>28.779299999999999</v>
      </c>
      <c r="AR234">
        <v>-81.283000000000001</v>
      </c>
      <c r="AS234">
        <v>149.07</v>
      </c>
      <c r="AT234">
        <v>9</v>
      </c>
      <c r="AU234">
        <v>12</v>
      </c>
      <c r="AV234">
        <v>2032</v>
      </c>
      <c r="AW234" t="s">
        <v>437</v>
      </c>
      <c r="AX234">
        <v>12</v>
      </c>
      <c r="AY234">
        <v>12117</v>
      </c>
      <c r="AZ234">
        <v>13</v>
      </c>
    </row>
    <row r="235" spans="1:52" x14ac:dyDescent="0.3">
      <c r="A235">
        <v>316</v>
      </c>
      <c r="B235" s="3">
        <v>240048000000</v>
      </c>
      <c r="C235" t="s">
        <v>1326</v>
      </c>
      <c r="D235" t="str">
        <f>IF(ISNUMBER(SEARCH("High",C235)), "High School","")</f>
        <v>High School</v>
      </c>
      <c r="E235">
        <v>2400480</v>
      </c>
      <c r="F235" t="s">
        <v>1327</v>
      </c>
      <c r="G235" s="1">
        <v>44582</v>
      </c>
      <c r="H235" t="s">
        <v>1243</v>
      </c>
      <c r="I235">
        <v>2022</v>
      </c>
      <c r="J235" s="2">
        <v>0.54166666666666663</v>
      </c>
      <c r="K235" t="s">
        <v>95</v>
      </c>
      <c r="L235" t="s">
        <v>1328</v>
      </c>
      <c r="M235" t="s">
        <v>198</v>
      </c>
      <c r="N235" s="4">
        <v>6165129</v>
      </c>
      <c r="O235" t="s">
        <v>56</v>
      </c>
      <c r="P235">
        <v>1697</v>
      </c>
      <c r="Q235">
        <v>0</v>
      </c>
      <c r="R235">
        <v>1</v>
      </c>
      <c r="S235">
        <v>1</v>
      </c>
      <c r="T235" t="s">
        <v>70</v>
      </c>
      <c r="U235">
        <v>17</v>
      </c>
      <c r="V235" t="s">
        <v>58</v>
      </c>
      <c r="X235" t="s">
        <v>60</v>
      </c>
      <c r="AG235">
        <v>436</v>
      </c>
      <c r="AH235">
        <v>302</v>
      </c>
      <c r="AI235">
        <v>671</v>
      </c>
      <c r="AJ235">
        <v>210</v>
      </c>
      <c r="AK235">
        <v>3</v>
      </c>
      <c r="AL235">
        <v>0</v>
      </c>
      <c r="AM235">
        <v>75</v>
      </c>
      <c r="AN235">
        <v>0</v>
      </c>
      <c r="AQ235">
        <v>39.131300000000003</v>
      </c>
      <c r="AR235">
        <v>-77.118300000000005</v>
      </c>
      <c r="AS235">
        <v>101.8</v>
      </c>
      <c r="AT235">
        <v>9</v>
      </c>
      <c r="AU235">
        <v>12</v>
      </c>
      <c r="AV235">
        <v>545</v>
      </c>
      <c r="AW235" t="s">
        <v>947</v>
      </c>
      <c r="AX235">
        <v>24</v>
      </c>
      <c r="AY235">
        <v>24031</v>
      </c>
      <c r="AZ235">
        <v>41</v>
      </c>
    </row>
    <row r="236" spans="1:52" x14ac:dyDescent="0.3">
      <c r="A236">
        <v>317</v>
      </c>
      <c r="B236" s="3">
        <v>421917000000</v>
      </c>
      <c r="C236" t="s">
        <v>1324</v>
      </c>
      <c r="D236" t="s">
        <v>1542</v>
      </c>
      <c r="E236">
        <v>4219170</v>
      </c>
      <c r="F236" t="s">
        <v>1325</v>
      </c>
      <c r="G236" s="1">
        <v>44580</v>
      </c>
      <c r="H236" t="s">
        <v>1243</v>
      </c>
      <c r="I236">
        <v>2022</v>
      </c>
      <c r="J236" s="2">
        <v>0.57291666666666663</v>
      </c>
      <c r="K236" t="s">
        <v>90</v>
      </c>
      <c r="L236" t="s">
        <v>453</v>
      </c>
      <c r="M236" t="s">
        <v>84</v>
      </c>
      <c r="N236" s="4">
        <v>12964056</v>
      </c>
      <c r="O236" t="s">
        <v>56</v>
      </c>
      <c r="P236">
        <v>105</v>
      </c>
      <c r="Q236">
        <v>1</v>
      </c>
      <c r="R236">
        <v>0</v>
      </c>
      <c r="S236">
        <v>1</v>
      </c>
      <c r="T236" t="s">
        <v>70</v>
      </c>
      <c r="AG236">
        <v>9</v>
      </c>
      <c r="AH236">
        <v>85</v>
      </c>
      <c r="AI236">
        <v>0</v>
      </c>
      <c r="AJ236">
        <v>0</v>
      </c>
      <c r="AK236">
        <v>0</v>
      </c>
      <c r="AL236">
        <v>0</v>
      </c>
      <c r="AM236">
        <v>11</v>
      </c>
      <c r="AN236">
        <v>0</v>
      </c>
      <c r="AQ236">
        <v>40.464326999999997</v>
      </c>
      <c r="AR236">
        <v>-80.024120999999994</v>
      </c>
      <c r="AS236">
        <v>22.63</v>
      </c>
      <c r="AT236">
        <v>3</v>
      </c>
      <c r="AU236">
        <v>12</v>
      </c>
      <c r="AV236">
        <v>86</v>
      </c>
      <c r="AW236" t="s">
        <v>455</v>
      </c>
      <c r="AX236">
        <v>42</v>
      </c>
      <c r="AY236">
        <v>42003</v>
      </c>
      <c r="AZ236">
        <v>11</v>
      </c>
    </row>
    <row r="237" spans="1:52" x14ac:dyDescent="0.3">
      <c r="A237">
        <v>321</v>
      </c>
      <c r="B237" s="3">
        <v>450231000000</v>
      </c>
      <c r="C237" t="s">
        <v>1379</v>
      </c>
      <c r="D237" t="str">
        <f>IF(ISNUMBER(SEARCH("Middle",C237)), "Middle School","")</f>
        <v>Middle School</v>
      </c>
      <c r="E237">
        <v>4502310</v>
      </c>
      <c r="F237" t="s">
        <v>1380</v>
      </c>
      <c r="G237" s="1">
        <v>44651</v>
      </c>
      <c r="H237" t="s">
        <v>1243</v>
      </c>
      <c r="I237">
        <v>2022</v>
      </c>
      <c r="J237" s="2">
        <v>0.5180555555555556</v>
      </c>
      <c r="K237" t="s">
        <v>67</v>
      </c>
      <c r="L237" t="s">
        <v>824</v>
      </c>
      <c r="M237" t="s">
        <v>604</v>
      </c>
      <c r="N237" s="4">
        <v>5190705</v>
      </c>
      <c r="O237" t="s">
        <v>56</v>
      </c>
      <c r="P237">
        <v>868</v>
      </c>
      <c r="Q237">
        <v>1</v>
      </c>
      <c r="R237">
        <v>0</v>
      </c>
      <c r="S237">
        <v>1</v>
      </c>
      <c r="T237" t="s">
        <v>70</v>
      </c>
      <c r="U237">
        <v>12</v>
      </c>
      <c r="V237" t="s">
        <v>58</v>
      </c>
      <c r="X237" t="s">
        <v>60</v>
      </c>
      <c r="AG237">
        <v>105</v>
      </c>
      <c r="AH237">
        <v>351</v>
      </c>
      <c r="AI237">
        <v>379</v>
      </c>
      <c r="AJ237">
        <v>0</v>
      </c>
      <c r="AK237">
        <v>4</v>
      </c>
      <c r="AL237">
        <v>0</v>
      </c>
      <c r="AM237">
        <v>29</v>
      </c>
      <c r="AN237">
        <v>0</v>
      </c>
      <c r="AO237" t="s">
        <v>136</v>
      </c>
      <c r="AQ237">
        <v>34.824083000000002</v>
      </c>
      <c r="AR237">
        <v>-82.468819999999994</v>
      </c>
      <c r="AS237">
        <v>45</v>
      </c>
      <c r="AT237">
        <v>6</v>
      </c>
      <c r="AU237">
        <v>8</v>
      </c>
      <c r="AV237">
        <v>868</v>
      </c>
      <c r="AW237" t="s">
        <v>1381</v>
      </c>
      <c r="AX237">
        <v>45</v>
      </c>
      <c r="AY237">
        <v>45045</v>
      </c>
      <c r="AZ237">
        <v>41</v>
      </c>
    </row>
    <row r="238" spans="1:52" x14ac:dyDescent="0.3">
      <c r="A238">
        <v>322</v>
      </c>
      <c r="B238" s="3">
        <v>420930000000</v>
      </c>
      <c r="C238" t="s">
        <v>1386</v>
      </c>
      <c r="D238" t="str">
        <f>IF(ISNUMBER(SEARCH("High",C238)), "High School","")</f>
        <v>High School</v>
      </c>
      <c r="E238">
        <v>4209300</v>
      </c>
      <c r="F238" t="s">
        <v>1387</v>
      </c>
      <c r="G238" s="1">
        <v>44656</v>
      </c>
      <c r="H238" t="s">
        <v>1243</v>
      </c>
      <c r="I238">
        <v>2022</v>
      </c>
      <c r="J238" s="2">
        <v>0.3888888888888889</v>
      </c>
      <c r="K238" t="s">
        <v>53</v>
      </c>
      <c r="L238" t="s">
        <v>1388</v>
      </c>
      <c r="M238" t="s">
        <v>84</v>
      </c>
      <c r="N238" s="4">
        <v>12964056</v>
      </c>
      <c r="O238" t="s">
        <v>56</v>
      </c>
      <c r="P238">
        <v>2267</v>
      </c>
      <c r="Q238">
        <v>0</v>
      </c>
      <c r="R238">
        <v>1</v>
      </c>
      <c r="S238">
        <v>1</v>
      </c>
      <c r="T238" t="s">
        <v>70</v>
      </c>
      <c r="U238">
        <v>14</v>
      </c>
      <c r="V238" t="s">
        <v>58</v>
      </c>
      <c r="X238" t="s">
        <v>60</v>
      </c>
      <c r="AG238">
        <v>803</v>
      </c>
      <c r="AH238">
        <v>912</v>
      </c>
      <c r="AI238">
        <v>317</v>
      </c>
      <c r="AJ238">
        <v>111</v>
      </c>
      <c r="AK238">
        <v>4</v>
      </c>
      <c r="AL238">
        <v>1</v>
      </c>
      <c r="AM238">
        <v>119</v>
      </c>
      <c r="AN238">
        <v>0</v>
      </c>
      <c r="AO238" t="s">
        <v>327</v>
      </c>
      <c r="AQ238">
        <v>42.101896000000004</v>
      </c>
      <c r="AR238">
        <v>-80.082293000000007</v>
      </c>
      <c r="AS238">
        <v>153.25</v>
      </c>
      <c r="AT238">
        <v>9</v>
      </c>
      <c r="AU238">
        <v>12</v>
      </c>
      <c r="AV238">
        <v>2264</v>
      </c>
      <c r="AW238" t="s">
        <v>1389</v>
      </c>
      <c r="AX238">
        <v>42</v>
      </c>
      <c r="AY238">
        <v>42049</v>
      </c>
      <c r="AZ238">
        <v>13</v>
      </c>
    </row>
    <row r="239" spans="1:52" x14ac:dyDescent="0.3">
      <c r="A239">
        <v>324</v>
      </c>
      <c r="B239">
        <v>80615001357</v>
      </c>
      <c r="C239" t="s">
        <v>1336</v>
      </c>
      <c r="D239" t="s">
        <v>1540</v>
      </c>
      <c r="E239">
        <v>806150</v>
      </c>
      <c r="F239" t="s">
        <v>1337</v>
      </c>
      <c r="G239" s="1">
        <v>44614</v>
      </c>
      <c r="H239" t="s">
        <v>1243</v>
      </c>
      <c r="I239">
        <v>2022</v>
      </c>
      <c r="J239" s="2">
        <v>0.64583333333333337</v>
      </c>
      <c r="K239" t="s">
        <v>53</v>
      </c>
      <c r="L239" t="s">
        <v>1338</v>
      </c>
      <c r="M239" t="s">
        <v>55</v>
      </c>
      <c r="N239" s="4">
        <v>5812069</v>
      </c>
      <c r="O239" t="s">
        <v>56</v>
      </c>
      <c r="P239">
        <v>536</v>
      </c>
      <c r="Q239">
        <v>1</v>
      </c>
      <c r="R239">
        <v>0</v>
      </c>
      <c r="S239">
        <v>1</v>
      </c>
      <c r="T239" t="s">
        <v>70</v>
      </c>
      <c r="X239" t="s">
        <v>630</v>
      </c>
      <c r="AG239">
        <v>256</v>
      </c>
      <c r="AH239">
        <v>4</v>
      </c>
      <c r="AI239">
        <v>227</v>
      </c>
      <c r="AJ239">
        <v>0</v>
      </c>
      <c r="AK239">
        <v>4</v>
      </c>
      <c r="AL239">
        <v>2</v>
      </c>
      <c r="AM239">
        <v>43</v>
      </c>
      <c r="AN239">
        <v>0</v>
      </c>
      <c r="AO239" t="s">
        <v>1339</v>
      </c>
      <c r="AQ239">
        <v>38.317300000000003</v>
      </c>
      <c r="AR239">
        <v>-104.7291</v>
      </c>
      <c r="AS239">
        <v>26</v>
      </c>
      <c r="AT239">
        <v>6</v>
      </c>
      <c r="AU239">
        <v>8</v>
      </c>
      <c r="AV239">
        <v>319</v>
      </c>
      <c r="AW239" t="s">
        <v>1340</v>
      </c>
      <c r="AX239">
        <v>8</v>
      </c>
      <c r="AY239">
        <v>8101</v>
      </c>
      <c r="AZ239">
        <v>22</v>
      </c>
    </row>
    <row r="240" spans="1:52" x14ac:dyDescent="0.3">
      <c r="A240">
        <v>325</v>
      </c>
      <c r="B240">
        <v>63255005018</v>
      </c>
      <c r="C240" t="s">
        <v>1357</v>
      </c>
      <c r="D240" t="str">
        <f>IF(ISNUMBER(SEARCH("High",C240)), "High School","")</f>
        <v>High School</v>
      </c>
      <c r="E240">
        <v>632550</v>
      </c>
      <c r="F240" t="s">
        <v>1358</v>
      </c>
      <c r="G240" s="1">
        <v>44631</v>
      </c>
      <c r="H240" t="s">
        <v>1243</v>
      </c>
      <c r="I240">
        <v>2022</v>
      </c>
      <c r="K240" t="s">
        <v>95</v>
      </c>
      <c r="L240" t="s">
        <v>1092</v>
      </c>
      <c r="M240" t="s">
        <v>121</v>
      </c>
      <c r="N240" s="4">
        <v>39237836</v>
      </c>
      <c r="O240" t="s">
        <v>56</v>
      </c>
      <c r="P240">
        <v>1380</v>
      </c>
      <c r="Q240">
        <v>0</v>
      </c>
      <c r="R240">
        <v>1</v>
      </c>
      <c r="S240">
        <v>1</v>
      </c>
      <c r="T240" t="s">
        <v>70</v>
      </c>
      <c r="X240" t="s">
        <v>60</v>
      </c>
      <c r="AG240">
        <v>106</v>
      </c>
      <c r="AH240">
        <v>308</v>
      </c>
      <c r="AI240">
        <v>665</v>
      </c>
      <c r="AJ240">
        <v>243</v>
      </c>
      <c r="AK240">
        <v>4</v>
      </c>
      <c r="AL240">
        <v>10</v>
      </c>
      <c r="AM240">
        <v>44</v>
      </c>
      <c r="AN240">
        <v>0</v>
      </c>
      <c r="AQ240">
        <v>37.969408999999999</v>
      </c>
      <c r="AR240">
        <v>-122.28803499999999</v>
      </c>
      <c r="AS240">
        <v>62.89</v>
      </c>
      <c r="AT240">
        <v>9</v>
      </c>
      <c r="AU240">
        <v>12</v>
      </c>
      <c r="AV240">
        <v>1063</v>
      </c>
      <c r="AW240" t="s">
        <v>1184</v>
      </c>
      <c r="AX240">
        <v>6</v>
      </c>
      <c r="AY240">
        <v>6013</v>
      </c>
      <c r="AZ240">
        <v>21</v>
      </c>
    </row>
    <row r="241" spans="1:52" x14ac:dyDescent="0.3">
      <c r="A241">
        <v>326</v>
      </c>
      <c r="B241" s="3">
        <v>531011000000</v>
      </c>
      <c r="C241" t="s">
        <v>1359</v>
      </c>
      <c r="D241" t="str">
        <f>IF(ISNUMBER(SEARCH("High",C241)), "High School","")</f>
        <v>High School</v>
      </c>
      <c r="E241">
        <v>5310110</v>
      </c>
      <c r="F241" t="s">
        <v>1360</v>
      </c>
      <c r="G241" s="1">
        <v>44635</v>
      </c>
      <c r="H241" t="s">
        <v>1243</v>
      </c>
      <c r="I241">
        <v>2022</v>
      </c>
      <c r="J241" s="2">
        <v>0.625</v>
      </c>
      <c r="K241" t="s">
        <v>53</v>
      </c>
      <c r="L241" t="s">
        <v>1361</v>
      </c>
      <c r="M241" t="s">
        <v>171</v>
      </c>
      <c r="N241" s="4">
        <v>7738692</v>
      </c>
      <c r="O241" t="s">
        <v>56</v>
      </c>
      <c r="P241">
        <v>1908</v>
      </c>
      <c r="Q241">
        <v>1</v>
      </c>
      <c r="R241">
        <v>0</v>
      </c>
      <c r="S241">
        <v>1</v>
      </c>
      <c r="T241" t="s">
        <v>70</v>
      </c>
      <c r="U241">
        <v>15</v>
      </c>
      <c r="V241" t="s">
        <v>58</v>
      </c>
      <c r="X241" t="s">
        <v>60</v>
      </c>
      <c r="AG241">
        <v>447</v>
      </c>
      <c r="AH241">
        <v>11</v>
      </c>
      <c r="AI241">
        <v>1372</v>
      </c>
      <c r="AJ241">
        <v>12</v>
      </c>
      <c r="AK241">
        <v>21</v>
      </c>
      <c r="AL241">
        <v>1</v>
      </c>
      <c r="AM241">
        <v>43</v>
      </c>
      <c r="AN241">
        <v>0</v>
      </c>
      <c r="AQ241">
        <v>46.591634999999997</v>
      </c>
      <c r="AR241">
        <v>-120.56579600000001</v>
      </c>
      <c r="AS241">
        <v>97.97</v>
      </c>
      <c r="AT241">
        <v>9</v>
      </c>
      <c r="AU241">
        <v>12</v>
      </c>
      <c r="AV241">
        <v>1333</v>
      </c>
      <c r="AW241" t="s">
        <v>1362</v>
      </c>
      <c r="AX241">
        <v>53</v>
      </c>
      <c r="AY241">
        <v>53077</v>
      </c>
      <c r="AZ241">
        <v>13</v>
      </c>
    </row>
    <row r="242" spans="1:52" x14ac:dyDescent="0.3">
      <c r="A242">
        <v>328</v>
      </c>
      <c r="B242" s="3">
        <v>170993000000</v>
      </c>
      <c r="C242" t="s">
        <v>1404</v>
      </c>
      <c r="D242" t="s">
        <v>1542</v>
      </c>
      <c r="E242">
        <v>1709930</v>
      </c>
      <c r="F242" t="s">
        <v>407</v>
      </c>
      <c r="G242" s="1">
        <v>44698</v>
      </c>
      <c r="H242" t="s">
        <v>1243</v>
      </c>
      <c r="I242">
        <v>2022</v>
      </c>
      <c r="J242" s="2">
        <v>0.41666666666666669</v>
      </c>
      <c r="K242" t="s">
        <v>53</v>
      </c>
      <c r="L242" t="s">
        <v>128</v>
      </c>
      <c r="M242" t="s">
        <v>129</v>
      </c>
      <c r="N242" s="4">
        <v>12671469</v>
      </c>
      <c r="O242" t="s">
        <v>56</v>
      </c>
      <c r="P242">
        <v>1536</v>
      </c>
      <c r="Q242">
        <v>0</v>
      </c>
      <c r="R242">
        <v>1</v>
      </c>
      <c r="S242">
        <v>1</v>
      </c>
      <c r="T242" t="s">
        <v>114</v>
      </c>
      <c r="U242">
        <v>8</v>
      </c>
      <c r="V242" t="s">
        <v>58</v>
      </c>
      <c r="X242" t="s">
        <v>60</v>
      </c>
      <c r="Y242">
        <v>0</v>
      </c>
      <c r="AG242">
        <v>231</v>
      </c>
      <c r="AH242">
        <v>738</v>
      </c>
      <c r="AI242">
        <v>317</v>
      </c>
      <c r="AJ242">
        <v>177</v>
      </c>
      <c r="AK242">
        <v>9</v>
      </c>
      <c r="AL242">
        <v>3</v>
      </c>
      <c r="AM242">
        <v>61</v>
      </c>
      <c r="AN242">
        <v>0</v>
      </c>
      <c r="AQ242">
        <v>41.956800000000001</v>
      </c>
      <c r="AR242">
        <v>-87.646900000000002</v>
      </c>
      <c r="AS242">
        <v>91</v>
      </c>
      <c r="AT242" t="s">
        <v>130</v>
      </c>
      <c r="AU242">
        <v>8</v>
      </c>
      <c r="AV242">
        <v>865</v>
      </c>
      <c r="AW242" t="s">
        <v>131</v>
      </c>
      <c r="AX242">
        <v>17</v>
      </c>
      <c r="AY242">
        <v>17031</v>
      </c>
      <c r="AZ242">
        <v>11</v>
      </c>
    </row>
    <row r="243" spans="1:52" x14ac:dyDescent="0.3">
      <c r="A243">
        <v>339</v>
      </c>
      <c r="B243" s="3">
        <v>380005000000</v>
      </c>
      <c r="C243" t="s">
        <v>1363</v>
      </c>
      <c r="D243" t="s">
        <v>1542</v>
      </c>
      <c r="E243">
        <v>3800046</v>
      </c>
      <c r="F243" t="s">
        <v>1364</v>
      </c>
      <c r="G243" s="1">
        <v>44641</v>
      </c>
      <c r="H243" t="s">
        <v>1243</v>
      </c>
      <c r="I243">
        <v>2022</v>
      </c>
      <c r="K243" t="s">
        <v>90</v>
      </c>
      <c r="L243" t="s">
        <v>1365</v>
      </c>
      <c r="M243" t="s">
        <v>1366</v>
      </c>
      <c r="N243" s="4">
        <v>774948</v>
      </c>
      <c r="O243" t="s">
        <v>56</v>
      </c>
      <c r="P243">
        <v>98</v>
      </c>
      <c r="Q243">
        <v>1</v>
      </c>
      <c r="R243">
        <v>0</v>
      </c>
      <c r="S243">
        <v>1</v>
      </c>
      <c r="T243" t="s">
        <v>70</v>
      </c>
      <c r="V243" t="s">
        <v>58</v>
      </c>
      <c r="X243" t="s">
        <v>630</v>
      </c>
      <c r="AG243">
        <v>87</v>
      </c>
      <c r="AH243">
        <v>2</v>
      </c>
      <c r="AI243">
        <v>3</v>
      </c>
      <c r="AJ243">
        <v>0</v>
      </c>
      <c r="AK243">
        <v>5</v>
      </c>
      <c r="AL243">
        <v>1</v>
      </c>
      <c r="AM243">
        <v>0</v>
      </c>
      <c r="AN243">
        <v>0</v>
      </c>
      <c r="AO243" t="s">
        <v>1367</v>
      </c>
      <c r="AQ243">
        <v>46.372185000000002</v>
      </c>
      <c r="AR243">
        <v>-102.318612</v>
      </c>
      <c r="AS243">
        <v>15.5</v>
      </c>
      <c r="AT243">
        <v>7</v>
      </c>
      <c r="AU243">
        <v>12</v>
      </c>
      <c r="AV243">
        <v>43</v>
      </c>
      <c r="AW243" t="s">
        <v>1365</v>
      </c>
      <c r="AX243">
        <v>38</v>
      </c>
      <c r="AY243">
        <v>38041</v>
      </c>
      <c r="AZ243">
        <v>43</v>
      </c>
    </row>
    <row r="244" spans="1:52" x14ac:dyDescent="0.3">
      <c r="A244">
        <v>344</v>
      </c>
      <c r="B244" s="3">
        <v>482364000000</v>
      </c>
      <c r="C244" t="s">
        <v>1398</v>
      </c>
      <c r="D244" t="str">
        <f>IF(ISNUMBER(SEARCH("High",C244)), "High School","")</f>
        <v>High School</v>
      </c>
      <c r="E244">
        <v>4823640</v>
      </c>
      <c r="F244" t="s">
        <v>1399</v>
      </c>
      <c r="G244" s="1">
        <v>44693</v>
      </c>
      <c r="H244" t="s">
        <v>1243</v>
      </c>
      <c r="I244">
        <v>2022</v>
      </c>
      <c r="J244" s="2">
        <v>0.55208333333333337</v>
      </c>
      <c r="K244" t="s">
        <v>67</v>
      </c>
      <c r="L244" t="s">
        <v>665</v>
      </c>
      <c r="M244" t="s">
        <v>205</v>
      </c>
      <c r="N244" s="4">
        <v>29527941</v>
      </c>
      <c r="O244" t="s">
        <v>56</v>
      </c>
      <c r="P244">
        <v>2450</v>
      </c>
      <c r="Q244">
        <v>0</v>
      </c>
      <c r="R244">
        <v>1</v>
      </c>
      <c r="S244">
        <v>1</v>
      </c>
      <c r="T244" t="s">
        <v>70</v>
      </c>
      <c r="U244">
        <v>17</v>
      </c>
      <c r="V244" t="s">
        <v>58</v>
      </c>
      <c r="X244" t="s">
        <v>60</v>
      </c>
      <c r="AG244">
        <v>257</v>
      </c>
      <c r="AH244">
        <v>296</v>
      </c>
      <c r="AI244">
        <v>1841</v>
      </c>
      <c r="AJ244">
        <v>23</v>
      </c>
      <c r="AK244">
        <v>3</v>
      </c>
      <c r="AL244">
        <v>2</v>
      </c>
      <c r="AM244">
        <v>28</v>
      </c>
      <c r="AN244">
        <v>0</v>
      </c>
      <c r="AO244" t="s">
        <v>1400</v>
      </c>
      <c r="AQ244">
        <v>29.795383999999999</v>
      </c>
      <c r="AR244">
        <v>-95.393500000000003</v>
      </c>
      <c r="AS244">
        <v>123.15</v>
      </c>
      <c r="AT244">
        <v>9</v>
      </c>
      <c r="AU244">
        <v>12</v>
      </c>
      <c r="AV244">
        <v>1613</v>
      </c>
      <c r="AW244" t="s">
        <v>668</v>
      </c>
      <c r="AX244">
        <v>48</v>
      </c>
      <c r="AY244">
        <v>48201</v>
      </c>
      <c r="AZ244">
        <v>11</v>
      </c>
    </row>
    <row r="245" spans="1:52" x14ac:dyDescent="0.3">
      <c r="A245">
        <v>349</v>
      </c>
      <c r="B245">
        <v>62805004278</v>
      </c>
      <c r="C245" t="s">
        <v>1424</v>
      </c>
      <c r="D245" t="s">
        <v>1542</v>
      </c>
      <c r="E245">
        <v>628050</v>
      </c>
      <c r="F245" t="s">
        <v>1425</v>
      </c>
      <c r="G245" s="1">
        <v>44802</v>
      </c>
      <c r="H245" t="s">
        <v>1417</v>
      </c>
      <c r="I245">
        <v>2022</v>
      </c>
      <c r="J245" s="2">
        <v>0.5625</v>
      </c>
      <c r="K245" t="s">
        <v>82</v>
      </c>
      <c r="L245" t="s">
        <v>352</v>
      </c>
      <c r="M245" t="s">
        <v>121</v>
      </c>
      <c r="N245" s="4">
        <v>39237836</v>
      </c>
      <c r="O245" t="s">
        <v>56</v>
      </c>
      <c r="P245">
        <v>754</v>
      </c>
      <c r="Q245">
        <v>0</v>
      </c>
      <c r="R245">
        <v>1</v>
      </c>
      <c r="S245">
        <v>1</v>
      </c>
      <c r="T245" t="s">
        <v>114</v>
      </c>
      <c r="U245">
        <v>12</v>
      </c>
      <c r="V245" t="s">
        <v>58</v>
      </c>
      <c r="X245" t="s">
        <v>60</v>
      </c>
      <c r="Y245">
        <v>0</v>
      </c>
      <c r="AG245">
        <v>5</v>
      </c>
      <c r="AH245">
        <v>117</v>
      </c>
      <c r="AI245">
        <v>589</v>
      </c>
      <c r="AJ245">
        <v>15</v>
      </c>
      <c r="AK245">
        <v>1</v>
      </c>
      <c r="AL245">
        <v>22</v>
      </c>
      <c r="AM245">
        <v>5</v>
      </c>
      <c r="AN245">
        <v>0</v>
      </c>
      <c r="AQ245">
        <v>37.727297</v>
      </c>
      <c r="AR245">
        <v>-122.178837</v>
      </c>
      <c r="AS245">
        <v>45.3</v>
      </c>
      <c r="AT245">
        <v>6</v>
      </c>
      <c r="AU245">
        <v>12</v>
      </c>
      <c r="AV245">
        <v>694</v>
      </c>
      <c r="AW245" t="s">
        <v>353</v>
      </c>
      <c r="AX245">
        <v>6</v>
      </c>
      <c r="AY245">
        <v>6001</v>
      </c>
      <c r="AZ245">
        <v>11</v>
      </c>
    </row>
    <row r="246" spans="1:52" x14ac:dyDescent="0.3">
      <c r="A246">
        <v>350</v>
      </c>
      <c r="B246" s="3">
        <v>240009000000</v>
      </c>
      <c r="C246" t="s">
        <v>1426</v>
      </c>
      <c r="D246" t="str">
        <f>IF(ISNUMBER(SEARCH("High",C246)), "High School","")</f>
        <v>High School</v>
      </c>
      <c r="E246">
        <v>2400090</v>
      </c>
      <c r="F246" t="s">
        <v>1427</v>
      </c>
      <c r="G246" s="1">
        <v>44806</v>
      </c>
      <c r="H246" t="s">
        <v>1417</v>
      </c>
      <c r="I246">
        <v>2022</v>
      </c>
      <c r="J246" s="2">
        <v>0.625</v>
      </c>
      <c r="K246" t="s">
        <v>95</v>
      </c>
      <c r="L246" t="s">
        <v>197</v>
      </c>
      <c r="M246" t="s">
        <v>198</v>
      </c>
      <c r="N246" s="4">
        <v>6165129</v>
      </c>
      <c r="O246" t="s">
        <v>56</v>
      </c>
      <c r="P246">
        <v>1785</v>
      </c>
      <c r="Q246">
        <v>1</v>
      </c>
      <c r="R246">
        <v>0</v>
      </c>
      <c r="S246">
        <v>1</v>
      </c>
      <c r="T246" t="s">
        <v>70</v>
      </c>
      <c r="U246">
        <v>17</v>
      </c>
      <c r="V246" t="s">
        <v>58</v>
      </c>
      <c r="X246" t="s">
        <v>60</v>
      </c>
      <c r="AG246">
        <v>51</v>
      </c>
      <c r="AH246">
        <v>1577</v>
      </c>
      <c r="AI246">
        <v>145</v>
      </c>
      <c r="AJ246">
        <v>6</v>
      </c>
      <c r="AK246">
        <v>0</v>
      </c>
      <c r="AL246">
        <v>1</v>
      </c>
      <c r="AM246">
        <v>5</v>
      </c>
      <c r="AN246">
        <v>0</v>
      </c>
      <c r="AO246" t="s">
        <v>136</v>
      </c>
      <c r="AQ246">
        <v>39.3322</v>
      </c>
      <c r="AR246">
        <v>-76.591099999999997</v>
      </c>
      <c r="AS246">
        <v>105.5</v>
      </c>
      <c r="AT246">
        <v>9</v>
      </c>
      <c r="AU246">
        <v>12</v>
      </c>
      <c r="AV246">
        <v>1187</v>
      </c>
      <c r="AW246" t="s">
        <v>201</v>
      </c>
      <c r="AX246">
        <v>24</v>
      </c>
      <c r="AY246">
        <v>24510</v>
      </c>
      <c r="AZ246">
        <v>11</v>
      </c>
    </row>
    <row r="247" spans="1:52" x14ac:dyDescent="0.3">
      <c r="A247">
        <v>354</v>
      </c>
      <c r="B247" s="3">
        <v>250279000000</v>
      </c>
      <c r="C247" t="s">
        <v>1438</v>
      </c>
      <c r="D247" t="str">
        <f>IF(ISNUMBER(SEARCH("High",C247)), "High School","")</f>
        <v>High School</v>
      </c>
      <c r="E247">
        <v>2502790</v>
      </c>
      <c r="F247" t="s">
        <v>1439</v>
      </c>
      <c r="G247" s="1">
        <v>44838</v>
      </c>
      <c r="H247" t="s">
        <v>1417</v>
      </c>
      <c r="I247">
        <v>2022</v>
      </c>
      <c r="J247" s="2">
        <v>0.39583333333333331</v>
      </c>
      <c r="K247" t="s">
        <v>53</v>
      </c>
      <c r="L247" t="s">
        <v>1440</v>
      </c>
      <c r="M247" t="s">
        <v>91</v>
      </c>
      <c r="N247" s="4">
        <v>6984723</v>
      </c>
      <c r="O247" t="s">
        <v>56</v>
      </c>
      <c r="P247">
        <v>390</v>
      </c>
      <c r="Q247">
        <v>0</v>
      </c>
      <c r="R247">
        <v>1</v>
      </c>
      <c r="S247">
        <v>1</v>
      </c>
      <c r="T247" t="s">
        <v>70</v>
      </c>
      <c r="U247">
        <v>17</v>
      </c>
      <c r="V247" t="s">
        <v>58</v>
      </c>
      <c r="X247" t="s">
        <v>60</v>
      </c>
      <c r="AG247">
        <v>15</v>
      </c>
      <c r="AH247">
        <v>232</v>
      </c>
      <c r="AI247">
        <v>126</v>
      </c>
      <c r="AJ247">
        <v>3</v>
      </c>
      <c r="AK247">
        <v>0</v>
      </c>
      <c r="AL247">
        <v>3</v>
      </c>
      <c r="AM247">
        <v>11</v>
      </c>
      <c r="AN247">
        <v>0</v>
      </c>
      <c r="AQ247">
        <v>42.306941999999999</v>
      </c>
      <c r="AR247">
        <v>-71.081648000000001</v>
      </c>
      <c r="AS247">
        <v>34.89</v>
      </c>
      <c r="AT247">
        <v>9</v>
      </c>
      <c r="AU247">
        <v>12</v>
      </c>
      <c r="AW247" t="s">
        <v>92</v>
      </c>
      <c r="AX247">
        <v>25</v>
      </c>
      <c r="AY247">
        <v>25025</v>
      </c>
      <c r="AZ247">
        <v>11</v>
      </c>
    </row>
    <row r="248" spans="1:52" x14ac:dyDescent="0.3">
      <c r="A248">
        <v>355</v>
      </c>
      <c r="B248" s="3">
        <v>550960000000</v>
      </c>
      <c r="C248" t="s">
        <v>1441</v>
      </c>
      <c r="D248" t="s">
        <v>1539</v>
      </c>
      <c r="E248">
        <v>5509600</v>
      </c>
      <c r="F248" t="s">
        <v>1442</v>
      </c>
      <c r="G248" s="1">
        <v>44844</v>
      </c>
      <c r="H248" t="s">
        <v>1417</v>
      </c>
      <c r="I248">
        <v>2022</v>
      </c>
      <c r="J248" s="2">
        <v>0.64583333333333337</v>
      </c>
      <c r="K248" t="s">
        <v>82</v>
      </c>
      <c r="L248" t="s">
        <v>428</v>
      </c>
      <c r="M248" t="s">
        <v>429</v>
      </c>
      <c r="N248" s="4">
        <v>5895908</v>
      </c>
      <c r="O248" t="s">
        <v>56</v>
      </c>
      <c r="P248">
        <v>699</v>
      </c>
      <c r="Q248">
        <v>0</v>
      </c>
      <c r="R248">
        <v>1</v>
      </c>
      <c r="S248">
        <v>1</v>
      </c>
      <c r="T248" t="s">
        <v>792</v>
      </c>
      <c r="AG248">
        <v>10</v>
      </c>
      <c r="AH248">
        <v>625</v>
      </c>
      <c r="AI248">
        <v>29</v>
      </c>
      <c r="AJ248">
        <v>21</v>
      </c>
      <c r="AK248">
        <v>0</v>
      </c>
      <c r="AL248">
        <v>0</v>
      </c>
      <c r="AM248">
        <v>14</v>
      </c>
      <c r="AN248">
        <v>0</v>
      </c>
      <c r="AQ248">
        <v>43.126100000000001</v>
      </c>
      <c r="AR248">
        <v>-88.012799999999999</v>
      </c>
      <c r="AS248">
        <v>41.8</v>
      </c>
      <c r="AT248">
        <v>9</v>
      </c>
      <c r="AU248">
        <v>12</v>
      </c>
      <c r="AV248">
        <v>699</v>
      </c>
      <c r="AW248" t="s">
        <v>430</v>
      </c>
      <c r="AX248">
        <v>55</v>
      </c>
      <c r="AY248">
        <v>55079</v>
      </c>
      <c r="AZ248">
        <v>11</v>
      </c>
    </row>
    <row r="249" spans="1:52" x14ac:dyDescent="0.3">
      <c r="A249">
        <v>357</v>
      </c>
      <c r="B249" s="3">
        <v>530771000000</v>
      </c>
      <c r="C249" t="s">
        <v>1446</v>
      </c>
      <c r="D249" t="str">
        <f>IF(ISNUMBER(SEARCH("High",C249)), "High School","")</f>
        <v>High School</v>
      </c>
      <c r="E249">
        <v>5307710</v>
      </c>
      <c r="F249" t="s">
        <v>1447</v>
      </c>
      <c r="G249" s="1">
        <v>44873</v>
      </c>
      <c r="H249" t="s">
        <v>1417</v>
      </c>
      <c r="I249">
        <v>2022</v>
      </c>
      <c r="K249" t="s">
        <v>53</v>
      </c>
      <c r="L249" t="s">
        <v>1448</v>
      </c>
      <c r="M249" t="s">
        <v>171</v>
      </c>
      <c r="N249" s="4">
        <v>7738692</v>
      </c>
      <c r="O249" t="s">
        <v>56</v>
      </c>
      <c r="P249">
        <v>1483</v>
      </c>
      <c r="Q249">
        <v>1</v>
      </c>
      <c r="R249">
        <v>0</v>
      </c>
      <c r="S249">
        <v>1</v>
      </c>
      <c r="T249" t="s">
        <v>70</v>
      </c>
      <c r="U249">
        <v>14</v>
      </c>
      <c r="V249" t="s">
        <v>58</v>
      </c>
      <c r="X249" t="s">
        <v>60</v>
      </c>
      <c r="AA249">
        <v>15</v>
      </c>
      <c r="AB249" t="s">
        <v>58</v>
      </c>
      <c r="AD249" t="s">
        <v>60</v>
      </c>
      <c r="AG249">
        <v>762</v>
      </c>
      <c r="AH249">
        <v>155</v>
      </c>
      <c r="AI249">
        <v>235</v>
      </c>
      <c r="AJ249">
        <v>147</v>
      </c>
      <c r="AK249">
        <v>7</v>
      </c>
      <c r="AL249">
        <v>5</v>
      </c>
      <c r="AM249">
        <v>166</v>
      </c>
      <c r="AN249">
        <v>0</v>
      </c>
      <c r="AO249" t="s">
        <v>136</v>
      </c>
      <c r="AQ249">
        <v>47.725700000000003</v>
      </c>
      <c r="AR249">
        <v>-122.3369</v>
      </c>
      <c r="AS249">
        <v>72.41</v>
      </c>
      <c r="AT249">
        <v>9</v>
      </c>
      <c r="AU249">
        <v>12</v>
      </c>
      <c r="AV249">
        <v>186</v>
      </c>
      <c r="AW249" t="s">
        <v>175</v>
      </c>
      <c r="AX249">
        <v>53</v>
      </c>
      <c r="AY249">
        <v>53033</v>
      </c>
      <c r="AZ249">
        <v>11</v>
      </c>
    </row>
    <row r="250" spans="1:52" x14ac:dyDescent="0.3">
      <c r="A250">
        <v>359</v>
      </c>
      <c r="B250" s="3">
        <v>181059000000</v>
      </c>
      <c r="C250" t="s">
        <v>1453</v>
      </c>
      <c r="D250" t="str">
        <f>IF(ISNUMBER(SEARCH("High",C250)), "High School","")</f>
        <v>High School</v>
      </c>
      <c r="E250">
        <v>1810590</v>
      </c>
      <c r="F250" t="s">
        <v>1454</v>
      </c>
      <c r="G250" s="1">
        <v>44882</v>
      </c>
      <c r="H250" t="s">
        <v>1417</v>
      </c>
      <c r="I250">
        <v>2022</v>
      </c>
      <c r="J250" s="2">
        <v>0.39583333333333331</v>
      </c>
      <c r="K250" t="s">
        <v>67</v>
      </c>
      <c r="L250" t="s">
        <v>1455</v>
      </c>
      <c r="M250" t="s">
        <v>225</v>
      </c>
      <c r="N250" s="4">
        <v>6805985</v>
      </c>
      <c r="O250" t="s">
        <v>56</v>
      </c>
      <c r="P250">
        <v>535</v>
      </c>
      <c r="Q250">
        <v>0</v>
      </c>
      <c r="R250">
        <v>1</v>
      </c>
      <c r="S250">
        <v>1</v>
      </c>
      <c r="T250" t="s">
        <v>114</v>
      </c>
      <c r="V250" t="s">
        <v>58</v>
      </c>
      <c r="X250" t="s">
        <v>1456</v>
      </c>
      <c r="Y250">
        <v>0</v>
      </c>
      <c r="AG250">
        <v>506</v>
      </c>
      <c r="AH250">
        <v>4</v>
      </c>
      <c r="AI250">
        <v>12</v>
      </c>
      <c r="AJ250">
        <v>0</v>
      </c>
      <c r="AK250">
        <v>0</v>
      </c>
      <c r="AL250">
        <v>1</v>
      </c>
      <c r="AM250">
        <v>12</v>
      </c>
      <c r="AN250">
        <v>1</v>
      </c>
      <c r="AO250" t="s">
        <v>136</v>
      </c>
      <c r="AQ250">
        <v>39.689</v>
      </c>
      <c r="AR250">
        <v>-87.413799999999995</v>
      </c>
      <c r="AS250">
        <v>37.74</v>
      </c>
      <c r="AT250">
        <v>9</v>
      </c>
      <c r="AU250">
        <v>12</v>
      </c>
      <c r="AV250">
        <v>195</v>
      </c>
      <c r="AW250" t="s">
        <v>1457</v>
      </c>
      <c r="AX250">
        <v>18</v>
      </c>
      <c r="AY250">
        <v>18165</v>
      </c>
      <c r="AZ250">
        <v>31</v>
      </c>
    </row>
    <row r="251" spans="1:52" x14ac:dyDescent="0.3">
      <c r="A251">
        <v>360</v>
      </c>
      <c r="B251" s="3">
        <v>470015000000</v>
      </c>
      <c r="C251" t="s">
        <v>1458</v>
      </c>
      <c r="D251" t="str">
        <f>IF(ISNUMBER(SEARCH("High",C251)), "High School","")</f>
        <v>High School</v>
      </c>
      <c r="E251">
        <v>4700148</v>
      </c>
      <c r="F251" t="s">
        <v>547</v>
      </c>
      <c r="G251" s="1">
        <v>44900</v>
      </c>
      <c r="H251" t="s">
        <v>1417</v>
      </c>
      <c r="I251">
        <v>2022</v>
      </c>
      <c r="J251" s="2">
        <v>0.51874999999999993</v>
      </c>
      <c r="K251" t="s">
        <v>82</v>
      </c>
      <c r="L251" t="s">
        <v>545</v>
      </c>
      <c r="M251" t="s">
        <v>377</v>
      </c>
      <c r="N251" s="4">
        <v>6975218</v>
      </c>
      <c r="O251" t="s">
        <v>56</v>
      </c>
      <c r="P251">
        <v>288</v>
      </c>
      <c r="Q251">
        <v>0</v>
      </c>
      <c r="R251">
        <v>1</v>
      </c>
      <c r="S251">
        <v>1</v>
      </c>
      <c r="T251" t="s">
        <v>114</v>
      </c>
      <c r="U251">
        <v>15</v>
      </c>
      <c r="V251" t="s">
        <v>58</v>
      </c>
      <c r="X251" t="s">
        <v>60</v>
      </c>
      <c r="Y251">
        <v>0</v>
      </c>
      <c r="AG251">
        <v>1</v>
      </c>
      <c r="AH251">
        <v>233</v>
      </c>
      <c r="AI251">
        <v>49</v>
      </c>
      <c r="AJ251">
        <v>0</v>
      </c>
      <c r="AK251">
        <v>0</v>
      </c>
      <c r="AL251">
        <v>0</v>
      </c>
      <c r="AM251">
        <v>5</v>
      </c>
      <c r="AN251">
        <v>0</v>
      </c>
      <c r="AQ251">
        <v>35.032021999999998</v>
      </c>
      <c r="AR251">
        <v>-90.036586</v>
      </c>
      <c r="AS251">
        <v>14.84</v>
      </c>
      <c r="AT251">
        <v>6</v>
      </c>
      <c r="AU251">
        <v>8</v>
      </c>
      <c r="AV251">
        <v>156</v>
      </c>
      <c r="AW251" t="s">
        <v>547</v>
      </c>
      <c r="AX251">
        <v>47</v>
      </c>
      <c r="AY251">
        <v>47157</v>
      </c>
      <c r="AZ251">
        <v>11</v>
      </c>
    </row>
    <row r="252" spans="1:52" x14ac:dyDescent="0.3">
      <c r="A252">
        <v>361</v>
      </c>
      <c r="B252" s="3">
        <v>240051000000</v>
      </c>
      <c r="C252" t="s">
        <v>1459</v>
      </c>
      <c r="D252" t="str">
        <f>IF(ISNUMBER(SEARCH("High",C252)), "High School","")</f>
        <v>High School</v>
      </c>
      <c r="E252">
        <v>2400510</v>
      </c>
      <c r="F252" t="s">
        <v>269</v>
      </c>
      <c r="G252" s="1">
        <v>44903</v>
      </c>
      <c r="H252" t="s">
        <v>1417</v>
      </c>
      <c r="I252">
        <v>2022</v>
      </c>
      <c r="J252" s="2">
        <v>0.41666666666666669</v>
      </c>
      <c r="K252" t="s">
        <v>67</v>
      </c>
      <c r="L252" t="s">
        <v>1460</v>
      </c>
      <c r="M252" t="s">
        <v>198</v>
      </c>
      <c r="N252" s="4">
        <v>6165129</v>
      </c>
      <c r="O252" t="s">
        <v>56</v>
      </c>
      <c r="P252">
        <v>2047</v>
      </c>
      <c r="Q252">
        <v>0</v>
      </c>
      <c r="R252">
        <v>1</v>
      </c>
      <c r="S252">
        <v>1</v>
      </c>
      <c r="T252" t="s">
        <v>70</v>
      </c>
      <c r="U252">
        <v>16</v>
      </c>
      <c r="V252" t="s">
        <v>58</v>
      </c>
      <c r="X252" t="s">
        <v>60</v>
      </c>
      <c r="AG252">
        <v>28</v>
      </c>
      <c r="AH252">
        <v>1806</v>
      </c>
      <c r="AI252">
        <v>185</v>
      </c>
      <c r="AJ252">
        <v>4</v>
      </c>
      <c r="AK252">
        <v>5</v>
      </c>
      <c r="AL252">
        <v>4</v>
      </c>
      <c r="AM252">
        <v>15</v>
      </c>
      <c r="AN252">
        <v>0</v>
      </c>
      <c r="AQ252">
        <v>38.853645</v>
      </c>
      <c r="AR252">
        <v>-76.917276999999999</v>
      </c>
      <c r="AS252">
        <v>133</v>
      </c>
      <c r="AT252">
        <v>9</v>
      </c>
      <c r="AU252">
        <v>12</v>
      </c>
      <c r="AV252">
        <v>807</v>
      </c>
      <c r="AW252" t="s">
        <v>273</v>
      </c>
      <c r="AX252">
        <v>24</v>
      </c>
      <c r="AY252">
        <v>24033</v>
      </c>
      <c r="AZ252">
        <v>21</v>
      </c>
    </row>
    <row r="253" spans="1:52" x14ac:dyDescent="0.3">
      <c r="A253">
        <v>362</v>
      </c>
      <c r="B253" s="3">
        <v>411004000000</v>
      </c>
      <c r="C253" t="s">
        <v>1465</v>
      </c>
      <c r="D253" t="str">
        <f>IF(ISNUMBER(SEARCH("High",C253)), "High School","")</f>
        <v>High School</v>
      </c>
      <c r="E253">
        <v>4110040</v>
      </c>
      <c r="F253" t="s">
        <v>1466</v>
      </c>
      <c r="G253" s="1">
        <v>44907</v>
      </c>
      <c r="H253" t="s">
        <v>1417</v>
      </c>
      <c r="I253">
        <v>2022</v>
      </c>
      <c r="J253" s="2">
        <v>0.52083333333333337</v>
      </c>
      <c r="K253" t="s">
        <v>82</v>
      </c>
      <c r="L253" t="s">
        <v>1467</v>
      </c>
      <c r="M253" t="s">
        <v>459</v>
      </c>
      <c r="N253" s="4">
        <v>4246155</v>
      </c>
      <c r="O253" t="s">
        <v>56</v>
      </c>
      <c r="P253">
        <v>1625</v>
      </c>
      <c r="Q253">
        <v>0</v>
      </c>
      <c r="R253">
        <v>1</v>
      </c>
      <c r="S253">
        <v>1</v>
      </c>
      <c r="T253" t="s">
        <v>70</v>
      </c>
      <c r="AG253">
        <v>1062</v>
      </c>
      <c r="AH253">
        <v>42</v>
      </c>
      <c r="AI253">
        <v>150</v>
      </c>
      <c r="AJ253">
        <v>138</v>
      </c>
      <c r="AK253">
        <v>2</v>
      </c>
      <c r="AL253">
        <v>6</v>
      </c>
      <c r="AM253">
        <v>198</v>
      </c>
      <c r="AN253">
        <v>0</v>
      </c>
      <c r="AQ253">
        <v>45.4985</v>
      </c>
      <c r="AR253">
        <v>-122.6391</v>
      </c>
      <c r="AS253">
        <v>80.56</v>
      </c>
      <c r="AT253">
        <v>9</v>
      </c>
      <c r="AU253">
        <v>12</v>
      </c>
      <c r="AV253">
        <v>148</v>
      </c>
      <c r="AW253" t="s">
        <v>523</v>
      </c>
      <c r="AX253">
        <v>41</v>
      </c>
      <c r="AY253">
        <v>41051</v>
      </c>
      <c r="AZ253">
        <v>11</v>
      </c>
    </row>
    <row r="254" spans="1:52" x14ac:dyDescent="0.3">
      <c r="A254">
        <v>363</v>
      </c>
      <c r="B254" s="3">
        <v>510264000000</v>
      </c>
      <c r="C254" t="s">
        <v>1472</v>
      </c>
      <c r="D254" t="str">
        <f>IF(ISNUMBER(SEARCH("Elementary",C254)), "Elementary School","")</f>
        <v>Elementary School</v>
      </c>
      <c r="E254">
        <v>5102640</v>
      </c>
      <c r="F254" t="s">
        <v>1473</v>
      </c>
      <c r="G254" s="1">
        <v>44932</v>
      </c>
      <c r="H254" t="s">
        <v>1417</v>
      </c>
      <c r="I254">
        <v>2023</v>
      </c>
      <c r="J254" s="2">
        <v>0.58333333333333337</v>
      </c>
      <c r="K254" t="s">
        <v>95</v>
      </c>
      <c r="L254" t="s">
        <v>1266</v>
      </c>
      <c r="M254" t="s">
        <v>441</v>
      </c>
      <c r="N254" s="4">
        <v>8642274</v>
      </c>
      <c r="O254" t="s">
        <v>56</v>
      </c>
      <c r="P254">
        <v>586</v>
      </c>
      <c r="Q254">
        <v>0</v>
      </c>
      <c r="R254">
        <v>1</v>
      </c>
      <c r="S254">
        <v>1</v>
      </c>
      <c r="T254" t="s">
        <v>70</v>
      </c>
      <c r="U254">
        <v>6</v>
      </c>
      <c r="V254" t="s">
        <v>58</v>
      </c>
      <c r="X254" t="s">
        <v>60</v>
      </c>
      <c r="AG254">
        <v>141</v>
      </c>
      <c r="AH254">
        <v>275</v>
      </c>
      <c r="AI254">
        <v>86</v>
      </c>
      <c r="AJ254">
        <v>20</v>
      </c>
      <c r="AK254">
        <v>0</v>
      </c>
      <c r="AL254">
        <v>2</v>
      </c>
      <c r="AM254">
        <v>62</v>
      </c>
      <c r="AN254">
        <v>0</v>
      </c>
      <c r="AO254" t="s">
        <v>136</v>
      </c>
      <c r="AQ254">
        <v>37.156399999999998</v>
      </c>
      <c r="AR254">
        <v>-76.523700000000005</v>
      </c>
      <c r="AS254">
        <v>31</v>
      </c>
      <c r="AT254" t="s">
        <v>124</v>
      </c>
      <c r="AU254">
        <v>5</v>
      </c>
      <c r="AV254">
        <v>492</v>
      </c>
      <c r="AW254" t="s">
        <v>1267</v>
      </c>
      <c r="AX254">
        <v>51</v>
      </c>
      <c r="AY254">
        <v>51700</v>
      </c>
      <c r="AZ254">
        <v>12</v>
      </c>
    </row>
    <row r="255" spans="1:52" x14ac:dyDescent="0.3">
      <c r="A255">
        <v>372</v>
      </c>
      <c r="B255" s="3">
        <v>220028000000</v>
      </c>
      <c r="C255" t="s">
        <v>360</v>
      </c>
      <c r="D255" t="str">
        <f>IF(ISNUMBER(SEARCH("High",C255)), "High School","")</f>
        <v>High School</v>
      </c>
      <c r="E255">
        <v>2200277</v>
      </c>
      <c r="F255" t="s">
        <v>1478</v>
      </c>
      <c r="G255" s="1">
        <v>44936</v>
      </c>
      <c r="H255" t="s">
        <v>1417</v>
      </c>
      <c r="I255">
        <v>2023</v>
      </c>
      <c r="J255" s="2">
        <v>0.64583333333333337</v>
      </c>
      <c r="K255" t="s">
        <v>53</v>
      </c>
      <c r="L255" t="s">
        <v>186</v>
      </c>
      <c r="M255" t="s">
        <v>69</v>
      </c>
      <c r="N255" s="4">
        <v>4624047</v>
      </c>
      <c r="O255" t="s">
        <v>56</v>
      </c>
      <c r="P255">
        <v>736</v>
      </c>
      <c r="Q255">
        <v>0</v>
      </c>
      <c r="R255">
        <v>1</v>
      </c>
      <c r="S255">
        <v>1</v>
      </c>
      <c r="T255" t="s">
        <v>70</v>
      </c>
      <c r="AG255">
        <v>1</v>
      </c>
      <c r="AH255">
        <v>700</v>
      </c>
      <c r="AI255">
        <v>34</v>
      </c>
      <c r="AJ255">
        <v>0</v>
      </c>
      <c r="AK255">
        <v>1</v>
      </c>
      <c r="AL255">
        <v>0</v>
      </c>
      <c r="AM255">
        <v>0</v>
      </c>
      <c r="AN255">
        <v>0</v>
      </c>
      <c r="AQ255">
        <v>29.949909999999999</v>
      </c>
      <c r="AR255">
        <v>-90.089250000000007</v>
      </c>
      <c r="AS255">
        <v>56</v>
      </c>
      <c r="AT255">
        <v>9</v>
      </c>
      <c r="AU255">
        <v>12</v>
      </c>
      <c r="AV255">
        <v>583</v>
      </c>
      <c r="AW255" t="s">
        <v>188</v>
      </c>
      <c r="AX255">
        <v>22</v>
      </c>
      <c r="AY255">
        <v>22071</v>
      </c>
      <c r="AZ255">
        <v>11</v>
      </c>
    </row>
    <row r="256" spans="1:52" x14ac:dyDescent="0.3">
      <c r="A256">
        <v>373</v>
      </c>
      <c r="B256" t="s">
        <v>1479</v>
      </c>
      <c r="C256" t="s">
        <v>1480</v>
      </c>
      <c r="D256" t="s">
        <v>1539</v>
      </c>
      <c r="G256" s="1">
        <v>44950</v>
      </c>
      <c r="H256" t="s">
        <v>1417</v>
      </c>
      <c r="I256">
        <v>2023</v>
      </c>
      <c r="J256" s="2">
        <v>0.52361111111111114</v>
      </c>
      <c r="K256" t="s">
        <v>53</v>
      </c>
      <c r="L256" t="s">
        <v>1481</v>
      </c>
      <c r="M256" t="s">
        <v>281</v>
      </c>
      <c r="N256" s="4">
        <v>6168187</v>
      </c>
      <c r="O256" t="s">
        <v>216</v>
      </c>
      <c r="P256">
        <v>50</v>
      </c>
      <c r="Q256">
        <v>0</v>
      </c>
      <c r="R256">
        <v>1</v>
      </c>
      <c r="S256">
        <v>1</v>
      </c>
      <c r="T256" t="s">
        <v>70</v>
      </c>
      <c r="AN256">
        <v>0</v>
      </c>
      <c r="AQ256">
        <v>39.0554877</v>
      </c>
      <c r="AR256">
        <v>-94.591275289999999</v>
      </c>
      <c r="AT256">
        <v>9</v>
      </c>
      <c r="AU256">
        <v>12</v>
      </c>
      <c r="AW256" t="s">
        <v>798</v>
      </c>
      <c r="AX256">
        <v>29</v>
      </c>
      <c r="AY256">
        <v>29095</v>
      </c>
      <c r="AZ256">
        <v>11</v>
      </c>
    </row>
    <row r="257" spans="1:52" x14ac:dyDescent="0.3">
      <c r="A257">
        <v>374</v>
      </c>
      <c r="B257" s="3">
        <v>481620000000</v>
      </c>
      <c r="C257" t="s">
        <v>1498</v>
      </c>
      <c r="D257" t="s">
        <v>1542</v>
      </c>
      <c r="E257">
        <v>4816200</v>
      </c>
      <c r="F257" t="s">
        <v>1499</v>
      </c>
      <c r="G257" s="1">
        <v>44970</v>
      </c>
      <c r="H257" t="s">
        <v>1417</v>
      </c>
      <c r="I257">
        <v>2023</v>
      </c>
      <c r="J257" s="2">
        <v>0.5</v>
      </c>
      <c r="K257" t="s">
        <v>82</v>
      </c>
      <c r="L257" t="s">
        <v>1500</v>
      </c>
      <c r="M257" t="s">
        <v>205</v>
      </c>
      <c r="N257" s="4">
        <v>29527941</v>
      </c>
      <c r="O257" t="s">
        <v>56</v>
      </c>
      <c r="P257">
        <v>1735</v>
      </c>
      <c r="Q257">
        <v>1</v>
      </c>
      <c r="R257">
        <v>0</v>
      </c>
      <c r="S257">
        <v>1</v>
      </c>
      <c r="T257" t="s">
        <v>114</v>
      </c>
      <c r="AG257">
        <v>521</v>
      </c>
      <c r="AH257">
        <v>13</v>
      </c>
      <c r="AI257">
        <v>1178</v>
      </c>
      <c r="AJ257">
        <v>3</v>
      </c>
      <c r="AK257">
        <v>6</v>
      </c>
      <c r="AL257">
        <v>1</v>
      </c>
      <c r="AM257">
        <v>13</v>
      </c>
      <c r="AN257">
        <v>0</v>
      </c>
      <c r="AQ257">
        <v>36.047164000000002</v>
      </c>
      <c r="AR257">
        <v>-102.499399</v>
      </c>
      <c r="AS257">
        <v>128.91</v>
      </c>
      <c r="AT257" t="s">
        <v>130</v>
      </c>
      <c r="AU257">
        <v>12</v>
      </c>
      <c r="AV257">
        <v>1162</v>
      </c>
      <c r="AW257" t="s">
        <v>1501</v>
      </c>
      <c r="AX257">
        <v>48</v>
      </c>
      <c r="AY257">
        <v>48205</v>
      </c>
      <c r="AZ257">
        <v>41</v>
      </c>
    </row>
    <row r="258" spans="1:52" x14ac:dyDescent="0.3">
      <c r="A258">
        <v>377</v>
      </c>
      <c r="B258" s="3">
        <v>480813000000</v>
      </c>
      <c r="C258" t="s">
        <v>1503</v>
      </c>
      <c r="D258" t="str">
        <f>IF(ISNUMBER(SEARCH("High",C258)), "High School","")</f>
        <v>High School</v>
      </c>
      <c r="E258">
        <v>4808130</v>
      </c>
      <c r="F258" t="s">
        <v>1504</v>
      </c>
      <c r="G258" s="1">
        <v>44991</v>
      </c>
      <c r="H258" t="s">
        <v>1417</v>
      </c>
      <c r="I258">
        <v>2023</v>
      </c>
      <c r="J258" s="2">
        <v>0.58333333333333337</v>
      </c>
      <c r="K258" t="s">
        <v>82</v>
      </c>
      <c r="L258" t="s">
        <v>1505</v>
      </c>
      <c r="M258" t="s">
        <v>205</v>
      </c>
      <c r="N258" s="4">
        <v>29527941</v>
      </c>
      <c r="O258" t="s">
        <v>56</v>
      </c>
      <c r="P258">
        <v>1895</v>
      </c>
      <c r="Q258">
        <v>0</v>
      </c>
      <c r="R258">
        <v>1</v>
      </c>
      <c r="S258">
        <v>1</v>
      </c>
      <c r="T258" t="s">
        <v>792</v>
      </c>
      <c r="AG258">
        <v>203</v>
      </c>
      <c r="AH258">
        <v>347</v>
      </c>
      <c r="AI258">
        <v>1083</v>
      </c>
      <c r="AJ258">
        <v>211</v>
      </c>
      <c r="AK258">
        <v>7</v>
      </c>
      <c r="AL258">
        <v>6</v>
      </c>
      <c r="AM258">
        <v>38</v>
      </c>
      <c r="AN258">
        <v>0</v>
      </c>
      <c r="AQ258">
        <v>35.228498000000002</v>
      </c>
      <c r="AR258">
        <v>-101.824434</v>
      </c>
      <c r="AS258">
        <v>131</v>
      </c>
      <c r="AT258">
        <v>9</v>
      </c>
      <c r="AU258">
        <v>12</v>
      </c>
      <c r="AV258">
        <v>1499</v>
      </c>
      <c r="AW258" t="s">
        <v>1506</v>
      </c>
      <c r="AX258">
        <v>48</v>
      </c>
      <c r="AY258">
        <v>48375</v>
      </c>
      <c r="AZ258">
        <v>12</v>
      </c>
    </row>
    <row r="259" spans="1:52" x14ac:dyDescent="0.3">
      <c r="A259">
        <v>381</v>
      </c>
      <c r="B259">
        <v>10009000011</v>
      </c>
      <c r="C259" t="s">
        <v>1509</v>
      </c>
      <c r="D259" t="str">
        <f>IF(ISNUMBER(SEARCH("High",C259)), "High School","")</f>
        <v>High School</v>
      </c>
      <c r="E259">
        <v>100090</v>
      </c>
      <c r="F259" t="s">
        <v>1510</v>
      </c>
      <c r="G259" s="1">
        <v>45007</v>
      </c>
      <c r="H259" t="s">
        <v>1417</v>
      </c>
      <c r="I259">
        <v>2023</v>
      </c>
      <c r="J259" s="2">
        <v>0.53125</v>
      </c>
      <c r="K259" t="s">
        <v>90</v>
      </c>
      <c r="L259" t="s">
        <v>1511</v>
      </c>
      <c r="M259" t="s">
        <v>614</v>
      </c>
      <c r="N259" s="4">
        <v>5039877</v>
      </c>
      <c r="O259" t="s">
        <v>56</v>
      </c>
      <c r="P259">
        <v>450</v>
      </c>
      <c r="Q259">
        <v>0</v>
      </c>
      <c r="R259">
        <v>1</v>
      </c>
      <c r="S259">
        <v>1</v>
      </c>
      <c r="T259" t="s">
        <v>114</v>
      </c>
      <c r="X259" t="s">
        <v>60</v>
      </c>
      <c r="AG259">
        <v>21</v>
      </c>
      <c r="AH259">
        <v>387</v>
      </c>
      <c r="AI259">
        <v>30</v>
      </c>
      <c r="AJ259">
        <v>0</v>
      </c>
      <c r="AK259">
        <v>0</v>
      </c>
      <c r="AL259">
        <v>0</v>
      </c>
      <c r="AM259">
        <v>12</v>
      </c>
      <c r="AN259">
        <v>0</v>
      </c>
      <c r="AQ259">
        <v>33.661200000000001</v>
      </c>
      <c r="AR259">
        <v>-85.82</v>
      </c>
      <c r="AS259">
        <v>25.5</v>
      </c>
      <c r="AT259">
        <v>9</v>
      </c>
      <c r="AU259">
        <v>12</v>
      </c>
      <c r="AV259">
        <v>387</v>
      </c>
      <c r="AW259" t="s">
        <v>1082</v>
      </c>
      <c r="AX259">
        <v>1</v>
      </c>
      <c r="AY259">
        <v>1015</v>
      </c>
      <c r="AZ259">
        <v>13</v>
      </c>
    </row>
    <row r="260" spans="1:52" x14ac:dyDescent="0.3">
      <c r="A260">
        <v>384</v>
      </c>
      <c r="B260" s="3">
        <v>470222000000</v>
      </c>
      <c r="C260" t="s">
        <v>1178</v>
      </c>
      <c r="D260" t="str">
        <f>IF(ISNUMBER(SEARCH("High",C260)), "High School","")</f>
        <v>High School</v>
      </c>
      <c r="E260">
        <v>4702220</v>
      </c>
      <c r="F260" t="s">
        <v>568</v>
      </c>
      <c r="G260" s="1">
        <v>45044</v>
      </c>
      <c r="H260" t="s">
        <v>1417</v>
      </c>
      <c r="I260">
        <v>2023</v>
      </c>
      <c r="J260" s="2">
        <v>0.3888888888888889</v>
      </c>
      <c r="K260" t="s">
        <v>95</v>
      </c>
      <c r="L260" t="s">
        <v>566</v>
      </c>
      <c r="M260" t="s">
        <v>377</v>
      </c>
      <c r="N260" s="4">
        <v>6975218</v>
      </c>
      <c r="O260" t="s">
        <v>56</v>
      </c>
      <c r="P260">
        <v>1525</v>
      </c>
      <c r="Q260">
        <v>0</v>
      </c>
      <c r="R260">
        <v>1</v>
      </c>
      <c r="S260">
        <v>1</v>
      </c>
      <c r="T260" t="s">
        <v>114</v>
      </c>
      <c r="U260">
        <v>14</v>
      </c>
      <c r="V260" t="s">
        <v>58</v>
      </c>
      <c r="X260" t="s">
        <v>60</v>
      </c>
      <c r="AG260">
        <v>909</v>
      </c>
      <c r="AH260">
        <v>305</v>
      </c>
      <c r="AI260">
        <v>187</v>
      </c>
      <c r="AJ260">
        <v>23</v>
      </c>
      <c r="AK260">
        <v>0</v>
      </c>
      <c r="AL260">
        <v>3</v>
      </c>
      <c r="AM260">
        <v>98</v>
      </c>
      <c r="AN260">
        <v>0</v>
      </c>
      <c r="AO260" t="s">
        <v>136</v>
      </c>
      <c r="AQ260">
        <v>35.948500000000003</v>
      </c>
      <c r="AR260">
        <v>-83.972999999999999</v>
      </c>
      <c r="AS260">
        <v>85.5</v>
      </c>
      <c r="AT260">
        <v>9</v>
      </c>
      <c r="AU260">
        <v>12</v>
      </c>
      <c r="AV260">
        <v>303</v>
      </c>
      <c r="AW260" t="s">
        <v>568</v>
      </c>
      <c r="AX260">
        <v>47</v>
      </c>
      <c r="AY260">
        <v>47093</v>
      </c>
      <c r="AZ260">
        <v>12</v>
      </c>
    </row>
    <row r="261" spans="1:52" x14ac:dyDescent="0.3">
      <c r="A261">
        <v>385</v>
      </c>
      <c r="B261" s="3">
        <v>260020000000</v>
      </c>
      <c r="C261" t="s">
        <v>1525</v>
      </c>
      <c r="D261" t="s">
        <v>1542</v>
      </c>
      <c r="E261">
        <v>2600195</v>
      </c>
      <c r="F261" t="s">
        <v>1526</v>
      </c>
      <c r="G261" s="1">
        <v>45048</v>
      </c>
      <c r="H261" t="s">
        <v>1417</v>
      </c>
      <c r="I261">
        <v>2023</v>
      </c>
      <c r="J261" s="2">
        <v>0.64583333333333337</v>
      </c>
      <c r="K261" t="s">
        <v>53</v>
      </c>
      <c r="L261" t="s">
        <v>1130</v>
      </c>
      <c r="M261" t="s">
        <v>145</v>
      </c>
      <c r="N261" s="4">
        <v>10050811</v>
      </c>
      <c r="O261" t="s">
        <v>56</v>
      </c>
      <c r="P261">
        <v>927</v>
      </c>
      <c r="Q261">
        <v>0</v>
      </c>
      <c r="R261">
        <v>1</v>
      </c>
      <c r="S261">
        <v>1</v>
      </c>
      <c r="T261" t="s">
        <v>70</v>
      </c>
      <c r="U261">
        <v>27</v>
      </c>
      <c r="V261" t="s">
        <v>152</v>
      </c>
      <c r="X261" t="s">
        <v>501</v>
      </c>
      <c r="AG261">
        <v>36</v>
      </c>
      <c r="AH261">
        <v>800</v>
      </c>
      <c r="AI261">
        <v>12</v>
      </c>
      <c r="AJ261">
        <v>0</v>
      </c>
      <c r="AK261">
        <v>7</v>
      </c>
      <c r="AL261">
        <v>0</v>
      </c>
      <c r="AM261">
        <v>72</v>
      </c>
      <c r="AN261">
        <v>0</v>
      </c>
      <c r="AQ261">
        <v>42.996600000000001</v>
      </c>
      <c r="AR261">
        <v>-83.6785</v>
      </c>
      <c r="AS261">
        <v>49</v>
      </c>
      <c r="AT261" t="s">
        <v>130</v>
      </c>
      <c r="AU261">
        <v>12</v>
      </c>
      <c r="AV261">
        <v>787</v>
      </c>
      <c r="AW261" t="s">
        <v>149</v>
      </c>
      <c r="AX261">
        <v>26</v>
      </c>
      <c r="AY261">
        <v>26049</v>
      </c>
      <c r="AZ261">
        <v>13</v>
      </c>
    </row>
    <row r="262" spans="1:52" x14ac:dyDescent="0.3">
      <c r="A262">
        <v>387</v>
      </c>
      <c r="B262" s="3">
        <v>110003000000</v>
      </c>
      <c r="C262" t="s">
        <v>560</v>
      </c>
      <c r="D262" t="str">
        <f>IF(ISNUMBER(SEARCH("High",C262)), "High School","")</f>
        <v>High School</v>
      </c>
      <c r="E262">
        <v>1100030</v>
      </c>
      <c r="F262" t="s">
        <v>1139</v>
      </c>
      <c r="G262" s="1">
        <v>45063</v>
      </c>
      <c r="H262" t="s">
        <v>1417</v>
      </c>
      <c r="I262">
        <v>2023</v>
      </c>
      <c r="J262" s="2">
        <v>0.60069444444444442</v>
      </c>
      <c r="K262" t="s">
        <v>90</v>
      </c>
      <c r="L262" t="s">
        <v>171</v>
      </c>
      <c r="M262" t="s">
        <v>296</v>
      </c>
      <c r="N262" s="4">
        <v>670050</v>
      </c>
      <c r="O262" t="s">
        <v>56</v>
      </c>
      <c r="P262">
        <v>797</v>
      </c>
      <c r="Q262">
        <v>1</v>
      </c>
      <c r="R262">
        <v>0</v>
      </c>
      <c r="S262">
        <v>1</v>
      </c>
      <c r="T262" t="s">
        <v>792</v>
      </c>
      <c r="AG262">
        <v>6</v>
      </c>
      <c r="AH262">
        <v>432</v>
      </c>
      <c r="AI262">
        <v>354</v>
      </c>
      <c r="AJ262">
        <v>4</v>
      </c>
      <c r="AK262">
        <v>0</v>
      </c>
      <c r="AL262">
        <v>0</v>
      </c>
      <c r="AM262">
        <v>1</v>
      </c>
      <c r="AN262">
        <v>0</v>
      </c>
      <c r="AQ262">
        <v>38.942971</v>
      </c>
      <c r="AR262">
        <v>-77.029177000000004</v>
      </c>
      <c r="AS262">
        <v>67.900000000000006</v>
      </c>
      <c r="AT262">
        <v>9</v>
      </c>
      <c r="AU262">
        <v>12</v>
      </c>
      <c r="AV262">
        <v>392</v>
      </c>
      <c r="AW262" t="s">
        <v>1530</v>
      </c>
      <c r="AX262">
        <v>11</v>
      </c>
      <c r="AY262">
        <v>11001</v>
      </c>
      <c r="AZ262">
        <v>11</v>
      </c>
    </row>
    <row r="263" spans="1:52" x14ac:dyDescent="0.3">
      <c r="A263">
        <v>388</v>
      </c>
      <c r="B263" s="3">
        <v>320006000000</v>
      </c>
      <c r="C263" t="s">
        <v>1527</v>
      </c>
      <c r="D263" t="s">
        <v>1542</v>
      </c>
      <c r="E263">
        <v>3200060</v>
      </c>
      <c r="F263" t="s">
        <v>1069</v>
      </c>
      <c r="G263" s="1">
        <v>45054</v>
      </c>
      <c r="H263" t="s">
        <v>1417</v>
      </c>
      <c r="I263">
        <v>2023</v>
      </c>
      <c r="J263" s="2">
        <v>0.52083333333333337</v>
      </c>
      <c r="K263" t="s">
        <v>82</v>
      </c>
      <c r="L263" t="s">
        <v>1374</v>
      </c>
      <c r="M263" t="s">
        <v>465</v>
      </c>
      <c r="N263" s="4">
        <v>3143991</v>
      </c>
      <c r="O263" t="s">
        <v>56</v>
      </c>
      <c r="P263" s="4">
        <v>1051</v>
      </c>
      <c r="Q263">
        <v>0</v>
      </c>
      <c r="R263">
        <v>1</v>
      </c>
      <c r="S263">
        <v>1</v>
      </c>
      <c r="T263" t="s">
        <v>114</v>
      </c>
      <c r="U263">
        <v>18</v>
      </c>
      <c r="V263" t="s">
        <v>58</v>
      </c>
      <c r="AG263">
        <v>25</v>
      </c>
      <c r="AH263">
        <v>128</v>
      </c>
      <c r="AI263">
        <v>867</v>
      </c>
      <c r="AJ263">
        <v>6</v>
      </c>
      <c r="AK263">
        <v>2</v>
      </c>
      <c r="AL263">
        <v>6</v>
      </c>
      <c r="AM263">
        <v>17</v>
      </c>
      <c r="AN263">
        <v>0</v>
      </c>
      <c r="AQ263">
        <v>36.204180000000001</v>
      </c>
      <c r="AR263">
        <v>-115.09741200000001</v>
      </c>
      <c r="AT263">
        <v>6</v>
      </c>
      <c r="AU263">
        <v>8</v>
      </c>
      <c r="AV263">
        <v>1051</v>
      </c>
      <c r="AW263" t="s">
        <v>1071</v>
      </c>
      <c r="AX263">
        <v>32</v>
      </c>
      <c r="AY263">
        <v>32003</v>
      </c>
      <c r="AZ263">
        <v>21</v>
      </c>
    </row>
    <row r="264" spans="1:52" x14ac:dyDescent="0.3">
      <c r="A264">
        <v>389</v>
      </c>
      <c r="B264" s="3">
        <v>421917000000</v>
      </c>
      <c r="C264" t="s">
        <v>1324</v>
      </c>
      <c r="D264" t="s">
        <v>1542</v>
      </c>
      <c r="E264">
        <v>4219170</v>
      </c>
      <c r="F264" t="s">
        <v>1325</v>
      </c>
      <c r="G264" s="1">
        <v>45070</v>
      </c>
      <c r="H264" t="s">
        <v>1417</v>
      </c>
      <c r="I264">
        <v>2023</v>
      </c>
      <c r="J264" s="2">
        <v>0.3125</v>
      </c>
      <c r="K264" t="s">
        <v>90</v>
      </c>
      <c r="L264" t="s">
        <v>453</v>
      </c>
      <c r="M264" t="s">
        <v>84</v>
      </c>
      <c r="N264" s="4">
        <v>12964056</v>
      </c>
      <c r="O264" t="s">
        <v>56</v>
      </c>
      <c r="P264">
        <v>106</v>
      </c>
      <c r="Q264">
        <v>1</v>
      </c>
      <c r="R264">
        <v>0</v>
      </c>
      <c r="S264">
        <v>1</v>
      </c>
      <c r="T264" t="s">
        <v>70</v>
      </c>
      <c r="U264">
        <v>15</v>
      </c>
      <c r="V264" t="s">
        <v>58</v>
      </c>
      <c r="X264" t="s">
        <v>60</v>
      </c>
      <c r="AG264">
        <v>9</v>
      </c>
      <c r="AH264">
        <v>82</v>
      </c>
      <c r="AI264">
        <v>2</v>
      </c>
      <c r="AJ264">
        <v>1</v>
      </c>
      <c r="AK264">
        <v>0</v>
      </c>
      <c r="AL264">
        <v>0</v>
      </c>
      <c r="AM264">
        <v>12</v>
      </c>
      <c r="AN264">
        <v>0</v>
      </c>
      <c r="AQ264">
        <v>40.464326999999997</v>
      </c>
      <c r="AR264">
        <v>-80.024120999999994</v>
      </c>
      <c r="AS264">
        <v>22.63</v>
      </c>
      <c r="AT264">
        <v>3</v>
      </c>
      <c r="AU264">
        <v>12</v>
      </c>
      <c r="AV264">
        <v>88</v>
      </c>
      <c r="AW264" t="s">
        <v>455</v>
      </c>
      <c r="AX264">
        <v>42</v>
      </c>
      <c r="AY264">
        <v>42003</v>
      </c>
      <c r="AZ264">
        <v>11</v>
      </c>
    </row>
    <row r="265" spans="1:52" x14ac:dyDescent="0.3">
      <c r="A265">
        <v>9</v>
      </c>
      <c r="B265">
        <v>62460009581</v>
      </c>
      <c r="C265" t="s">
        <v>118</v>
      </c>
      <c r="D265" t="str">
        <f>IF(ISNUMBER(SEARCH("Elementary",C265)), "Elementary School","")</f>
        <v>Elementary School</v>
      </c>
      <c r="E265">
        <v>624600</v>
      </c>
      <c r="F265" t="s">
        <v>119</v>
      </c>
      <c r="G265" s="1">
        <v>36551</v>
      </c>
      <c r="H265" t="s">
        <v>81</v>
      </c>
      <c r="I265">
        <v>2000</v>
      </c>
      <c r="J265" s="2">
        <v>0.35694444444444445</v>
      </c>
      <c r="K265" t="s">
        <v>90</v>
      </c>
      <c r="L265" t="s">
        <v>120</v>
      </c>
      <c r="M265" t="s">
        <v>121</v>
      </c>
      <c r="N265" s="4">
        <v>39237836</v>
      </c>
      <c r="O265" t="s">
        <v>56</v>
      </c>
      <c r="P265">
        <v>734</v>
      </c>
      <c r="Q265">
        <v>0</v>
      </c>
      <c r="R265">
        <v>0</v>
      </c>
      <c r="S265">
        <v>0</v>
      </c>
      <c r="T265" t="s">
        <v>70</v>
      </c>
      <c r="U265">
        <v>13</v>
      </c>
      <c r="V265" t="s">
        <v>58</v>
      </c>
      <c r="X265" t="s">
        <v>122</v>
      </c>
      <c r="Y265">
        <v>0</v>
      </c>
      <c r="AG265">
        <v>82</v>
      </c>
      <c r="AH265">
        <v>40</v>
      </c>
      <c r="AI265">
        <v>389</v>
      </c>
      <c r="AJ265">
        <v>222</v>
      </c>
      <c r="AK265">
        <v>1</v>
      </c>
      <c r="AN265">
        <v>0</v>
      </c>
      <c r="AO265" t="s">
        <v>123</v>
      </c>
      <c r="AQ265">
        <v>37.286386999999998</v>
      </c>
      <c r="AR265">
        <v>-120.49480800000001</v>
      </c>
      <c r="AS265">
        <v>36</v>
      </c>
      <c r="AT265" t="s">
        <v>124</v>
      </c>
      <c r="AU265">
        <v>5</v>
      </c>
      <c r="AV265">
        <v>643</v>
      </c>
      <c r="AW265" t="s">
        <v>125</v>
      </c>
      <c r="AX265">
        <v>6</v>
      </c>
      <c r="AY265">
        <v>6047</v>
      </c>
      <c r="AZ265">
        <v>13</v>
      </c>
    </row>
    <row r="266" spans="1:52" x14ac:dyDescent="0.3">
      <c r="A266">
        <v>11</v>
      </c>
      <c r="B266" s="3">
        <v>280132000000</v>
      </c>
      <c r="C266" t="s">
        <v>132</v>
      </c>
      <c r="D266" t="str">
        <f>IF(ISNUMBER(SEARCH("High",C266)), "High School","")</f>
        <v>High School</v>
      </c>
      <c r="E266">
        <v>2801320</v>
      </c>
      <c r="F266" t="s">
        <v>133</v>
      </c>
      <c r="G266" s="1">
        <v>36578</v>
      </c>
      <c r="H266" t="s">
        <v>81</v>
      </c>
      <c r="I266">
        <v>2000</v>
      </c>
      <c r="K266" t="s">
        <v>53</v>
      </c>
      <c r="L266" t="s">
        <v>134</v>
      </c>
      <c r="M266" t="s">
        <v>135</v>
      </c>
      <c r="N266" s="4">
        <v>2949965</v>
      </c>
      <c r="O266" t="s">
        <v>56</v>
      </c>
      <c r="P266">
        <v>1197</v>
      </c>
      <c r="Q266">
        <v>0</v>
      </c>
      <c r="R266">
        <v>0</v>
      </c>
      <c r="S266">
        <v>0</v>
      </c>
      <c r="T266" t="s">
        <v>70</v>
      </c>
      <c r="V266" t="s">
        <v>58</v>
      </c>
      <c r="Y266">
        <v>0</v>
      </c>
      <c r="AG266">
        <v>991</v>
      </c>
      <c r="AH266">
        <v>166</v>
      </c>
      <c r="AI266">
        <v>25</v>
      </c>
      <c r="AJ266">
        <v>14</v>
      </c>
      <c r="AK266">
        <v>1</v>
      </c>
      <c r="AN266">
        <v>0</v>
      </c>
      <c r="AO266" t="s">
        <v>136</v>
      </c>
      <c r="AQ266">
        <v>34.948918999999997</v>
      </c>
      <c r="AR266">
        <v>-90.035422999999994</v>
      </c>
      <c r="AS266">
        <v>65</v>
      </c>
      <c r="AT266">
        <v>9</v>
      </c>
      <c r="AU266">
        <v>12</v>
      </c>
      <c r="AV266">
        <v>324</v>
      </c>
      <c r="AW266" t="s">
        <v>137</v>
      </c>
      <c r="AX266">
        <v>28</v>
      </c>
      <c r="AY266">
        <v>28033</v>
      </c>
      <c r="AZ266">
        <v>21</v>
      </c>
    </row>
    <row r="267" spans="1:52" x14ac:dyDescent="0.3">
      <c r="A267">
        <v>12</v>
      </c>
      <c r="B267" s="3">
        <v>402961000000</v>
      </c>
      <c r="C267" t="s">
        <v>138</v>
      </c>
      <c r="D267" t="str">
        <f>IF(ISNUMBER(SEARCH("High",C267)), "High School","")</f>
        <v>High School</v>
      </c>
      <c r="E267">
        <v>4029610</v>
      </c>
      <c r="F267" t="s">
        <v>139</v>
      </c>
      <c r="G267" s="1">
        <v>36580</v>
      </c>
      <c r="H267" t="s">
        <v>81</v>
      </c>
      <c r="I267">
        <v>2000</v>
      </c>
      <c r="J267" s="2">
        <v>0.375</v>
      </c>
      <c r="K267" t="s">
        <v>67</v>
      </c>
      <c r="L267" t="s">
        <v>139</v>
      </c>
      <c r="M267" t="s">
        <v>105</v>
      </c>
      <c r="N267" s="4">
        <v>3986639</v>
      </c>
      <c r="O267" t="s">
        <v>56</v>
      </c>
      <c r="P267">
        <v>711</v>
      </c>
      <c r="Q267">
        <v>0</v>
      </c>
      <c r="R267">
        <v>0</v>
      </c>
      <c r="S267">
        <v>0</v>
      </c>
      <c r="T267" t="s">
        <v>70</v>
      </c>
      <c r="U267">
        <v>19</v>
      </c>
      <c r="V267" t="s">
        <v>58</v>
      </c>
      <c r="X267" t="s">
        <v>140</v>
      </c>
      <c r="Y267">
        <v>0</v>
      </c>
      <c r="AG267">
        <v>527</v>
      </c>
      <c r="AH267">
        <v>8</v>
      </c>
      <c r="AI267">
        <v>12</v>
      </c>
      <c r="AJ267">
        <v>2</v>
      </c>
      <c r="AK267">
        <v>162</v>
      </c>
      <c r="AN267">
        <v>0</v>
      </c>
      <c r="AQ267">
        <v>35.255493999999999</v>
      </c>
      <c r="AR267">
        <v>-96.943184000000002</v>
      </c>
      <c r="AS267">
        <v>45.5</v>
      </c>
      <c r="AT267">
        <v>9</v>
      </c>
      <c r="AU267">
        <v>12</v>
      </c>
      <c r="AV267">
        <v>184</v>
      </c>
      <c r="AW267" t="s">
        <v>141</v>
      </c>
      <c r="AX267">
        <v>40</v>
      </c>
      <c r="AY267">
        <v>40125</v>
      </c>
      <c r="AZ267">
        <v>32</v>
      </c>
    </row>
    <row r="268" spans="1:52" x14ac:dyDescent="0.3">
      <c r="A268">
        <v>17</v>
      </c>
      <c r="B268" s="3">
        <v>530723000000</v>
      </c>
      <c r="C268" t="s">
        <v>169</v>
      </c>
      <c r="D268" t="str">
        <f>IF(ISNUMBER(SEARCH("Middle",C268)), "Middle School","")</f>
        <v>Middle School</v>
      </c>
      <c r="E268">
        <v>5307230</v>
      </c>
      <c r="F268" t="s">
        <v>170</v>
      </c>
      <c r="G268" s="1">
        <v>36724</v>
      </c>
      <c r="H268" t="s">
        <v>81</v>
      </c>
      <c r="I268">
        <v>2000</v>
      </c>
      <c r="J268" s="2">
        <v>0.4375</v>
      </c>
      <c r="K268" t="s">
        <v>82</v>
      </c>
      <c r="L268" t="s">
        <v>170</v>
      </c>
      <c r="M268" t="s">
        <v>171</v>
      </c>
      <c r="N268" s="4">
        <v>7738692</v>
      </c>
      <c r="O268" t="s">
        <v>56</v>
      </c>
      <c r="P268">
        <v>956</v>
      </c>
      <c r="Q268">
        <v>0</v>
      </c>
      <c r="R268">
        <v>0</v>
      </c>
      <c r="S268">
        <v>0</v>
      </c>
      <c r="T268" t="s">
        <v>57</v>
      </c>
      <c r="U268">
        <v>13</v>
      </c>
      <c r="V268" t="s">
        <v>58</v>
      </c>
      <c r="W268" t="s">
        <v>59</v>
      </c>
      <c r="X268" t="s">
        <v>172</v>
      </c>
      <c r="Y268">
        <v>0</v>
      </c>
      <c r="AG268">
        <v>276</v>
      </c>
      <c r="AH268">
        <v>375</v>
      </c>
      <c r="AI268">
        <v>73</v>
      </c>
      <c r="AJ268">
        <v>218</v>
      </c>
      <c r="AK268">
        <v>14</v>
      </c>
      <c r="AN268">
        <v>0</v>
      </c>
      <c r="AO268" t="s">
        <v>173</v>
      </c>
      <c r="AP268" t="s">
        <v>174</v>
      </c>
      <c r="AQ268">
        <v>47.493015</v>
      </c>
      <c r="AR268">
        <v>-122.233115</v>
      </c>
      <c r="AS268">
        <v>42.3</v>
      </c>
      <c r="AT268">
        <v>6</v>
      </c>
      <c r="AU268">
        <v>8</v>
      </c>
      <c r="AW268" t="s">
        <v>175</v>
      </c>
      <c r="AX268">
        <v>53</v>
      </c>
      <c r="AY268">
        <v>53033</v>
      </c>
      <c r="AZ268">
        <v>21</v>
      </c>
    </row>
    <row r="269" spans="1:52" x14ac:dyDescent="0.3">
      <c r="A269">
        <v>18</v>
      </c>
      <c r="B269" s="3">
        <v>390444000000</v>
      </c>
      <c r="C269" t="s">
        <v>176</v>
      </c>
      <c r="D269" t="str">
        <f>IF(ISNUMBER(SEARCH("High",C269)), "High School","")</f>
        <v>High School</v>
      </c>
      <c r="E269">
        <v>3904441</v>
      </c>
      <c r="F269" t="s">
        <v>177</v>
      </c>
      <c r="G269" s="1">
        <v>36787</v>
      </c>
      <c r="H269" t="s">
        <v>178</v>
      </c>
      <c r="I269">
        <v>2000</v>
      </c>
      <c r="K269" t="s">
        <v>82</v>
      </c>
      <c r="L269" t="s">
        <v>179</v>
      </c>
      <c r="M269" t="s">
        <v>180</v>
      </c>
      <c r="N269" s="4">
        <v>11780017</v>
      </c>
      <c r="O269" t="s">
        <v>56</v>
      </c>
      <c r="P269">
        <v>341</v>
      </c>
      <c r="Q269">
        <v>0</v>
      </c>
      <c r="R269">
        <v>0</v>
      </c>
      <c r="S269">
        <v>0</v>
      </c>
      <c r="T269" t="s">
        <v>57</v>
      </c>
      <c r="U269">
        <v>14</v>
      </c>
      <c r="V269" t="s">
        <v>58</v>
      </c>
      <c r="X269" t="s">
        <v>60</v>
      </c>
      <c r="Y269">
        <v>0</v>
      </c>
      <c r="AG269">
        <v>149</v>
      </c>
      <c r="AH269">
        <v>192</v>
      </c>
      <c r="AI269">
        <v>0</v>
      </c>
      <c r="AJ269">
        <v>0</v>
      </c>
      <c r="AK269">
        <v>0</v>
      </c>
      <c r="AN269">
        <v>1</v>
      </c>
      <c r="AO269" t="s">
        <v>181</v>
      </c>
      <c r="AP269" t="s">
        <v>182</v>
      </c>
      <c r="AQ269">
        <v>39.251505999999999</v>
      </c>
      <c r="AR269">
        <v>-84.555558000000005</v>
      </c>
      <c r="AS269">
        <v>22.8</v>
      </c>
      <c r="AT269">
        <v>7</v>
      </c>
      <c r="AU269">
        <v>8</v>
      </c>
      <c r="AV269">
        <v>163</v>
      </c>
      <c r="AW269" t="s">
        <v>183</v>
      </c>
      <c r="AX269">
        <v>39</v>
      </c>
      <c r="AY269">
        <v>39061</v>
      </c>
      <c r="AZ269">
        <v>21</v>
      </c>
    </row>
    <row r="270" spans="1:52" x14ac:dyDescent="0.3">
      <c r="A270">
        <v>20</v>
      </c>
      <c r="B270">
        <v>62927004519</v>
      </c>
      <c r="C270" t="s">
        <v>189</v>
      </c>
      <c r="D270" t="str">
        <f>IF(ISNUMBER(SEARCH("High",C270)), "High School","")</f>
        <v>High School</v>
      </c>
      <c r="E270">
        <v>629270</v>
      </c>
      <c r="F270" t="s">
        <v>190</v>
      </c>
      <c r="G270" s="1">
        <v>36901</v>
      </c>
      <c r="H270" t="s">
        <v>178</v>
      </c>
      <c r="I270">
        <v>2001</v>
      </c>
      <c r="J270" s="2">
        <v>0.53472222222222221</v>
      </c>
      <c r="K270" t="s">
        <v>90</v>
      </c>
      <c r="L270" t="s">
        <v>191</v>
      </c>
      <c r="M270" t="s">
        <v>121</v>
      </c>
      <c r="N270" s="4">
        <v>39237836</v>
      </c>
      <c r="O270" t="s">
        <v>56</v>
      </c>
      <c r="P270">
        <v>2764</v>
      </c>
      <c r="Q270">
        <v>0</v>
      </c>
      <c r="R270">
        <v>0</v>
      </c>
      <c r="S270">
        <v>0</v>
      </c>
      <c r="T270" t="s">
        <v>70</v>
      </c>
      <c r="U270">
        <v>17</v>
      </c>
      <c r="V270" t="s">
        <v>58</v>
      </c>
      <c r="W270" t="s">
        <v>99</v>
      </c>
      <c r="X270" t="s">
        <v>192</v>
      </c>
      <c r="Y270">
        <v>1</v>
      </c>
      <c r="Z270" t="s">
        <v>193</v>
      </c>
      <c r="AG270">
        <v>311</v>
      </c>
      <c r="AH270">
        <v>124</v>
      </c>
      <c r="AI270">
        <v>2145</v>
      </c>
      <c r="AJ270">
        <v>134</v>
      </c>
      <c r="AK270">
        <v>50</v>
      </c>
      <c r="AN270">
        <v>1</v>
      </c>
      <c r="AO270" t="s">
        <v>136</v>
      </c>
      <c r="AQ270">
        <v>34.160148999999997</v>
      </c>
      <c r="AR270">
        <v>-119.18219999999999</v>
      </c>
      <c r="AS270">
        <v>110.2</v>
      </c>
      <c r="AT270">
        <v>9</v>
      </c>
      <c r="AU270">
        <v>12</v>
      </c>
      <c r="AV270">
        <v>1169</v>
      </c>
      <c r="AW270" t="s">
        <v>194</v>
      </c>
      <c r="AX270">
        <v>6</v>
      </c>
      <c r="AY270">
        <v>6111</v>
      </c>
      <c r="AZ270">
        <v>12</v>
      </c>
    </row>
    <row r="271" spans="1:52" x14ac:dyDescent="0.3">
      <c r="A271">
        <v>27</v>
      </c>
      <c r="B271" s="3">
        <v>220108000000</v>
      </c>
      <c r="C271" t="s">
        <v>228</v>
      </c>
      <c r="D271" t="s">
        <v>1542</v>
      </c>
      <c r="E271">
        <v>2201080</v>
      </c>
      <c r="F271" t="s">
        <v>229</v>
      </c>
      <c r="G271" s="1">
        <v>37001</v>
      </c>
      <c r="H271" t="s">
        <v>178</v>
      </c>
      <c r="I271">
        <v>2001</v>
      </c>
      <c r="J271" s="2">
        <v>0.30555555555555552</v>
      </c>
      <c r="K271" t="s">
        <v>95</v>
      </c>
      <c r="L271" t="s">
        <v>230</v>
      </c>
      <c r="M271" t="s">
        <v>69</v>
      </c>
      <c r="N271" s="4">
        <v>4624047</v>
      </c>
      <c r="O271" t="s">
        <v>56</v>
      </c>
      <c r="P271">
        <v>65</v>
      </c>
      <c r="Q271">
        <v>0</v>
      </c>
      <c r="R271">
        <v>0</v>
      </c>
      <c r="S271">
        <v>0</v>
      </c>
      <c r="T271" t="s">
        <v>70</v>
      </c>
      <c r="U271">
        <v>14</v>
      </c>
      <c r="V271" t="s">
        <v>58</v>
      </c>
      <c r="X271" t="s">
        <v>60</v>
      </c>
      <c r="Y271">
        <v>0</v>
      </c>
      <c r="AN271">
        <v>0</v>
      </c>
      <c r="AO271" t="s">
        <v>231</v>
      </c>
      <c r="AQ271">
        <v>32.524186999999998</v>
      </c>
      <c r="AR271">
        <v>-92.070623999999995</v>
      </c>
      <c r="AW271" t="s">
        <v>232</v>
      </c>
      <c r="AX271">
        <v>22</v>
      </c>
      <c r="AY271">
        <v>22073</v>
      </c>
      <c r="AZ271">
        <v>13</v>
      </c>
    </row>
    <row r="272" spans="1:52" x14ac:dyDescent="0.3">
      <c r="A272">
        <v>28</v>
      </c>
      <c r="B272" s="3">
        <v>481854000000</v>
      </c>
      <c r="C272" t="s">
        <v>233</v>
      </c>
      <c r="D272" t="str">
        <f>IF(ISNUMBER(SEARCH("High",C272)), "High School","")</f>
        <v>High School</v>
      </c>
      <c r="E272">
        <v>4818540</v>
      </c>
      <c r="F272" t="s">
        <v>234</v>
      </c>
      <c r="G272" s="1">
        <v>37026</v>
      </c>
      <c r="H272" t="s">
        <v>178</v>
      </c>
      <c r="I272">
        <v>2001</v>
      </c>
      <c r="J272" s="2">
        <v>0.5</v>
      </c>
      <c r="K272" t="s">
        <v>53</v>
      </c>
      <c r="L272" t="s">
        <v>235</v>
      </c>
      <c r="M272" t="s">
        <v>205</v>
      </c>
      <c r="N272" s="4">
        <v>29527941</v>
      </c>
      <c r="O272" t="s">
        <v>56</v>
      </c>
      <c r="P272">
        <v>1279</v>
      </c>
      <c r="Q272">
        <v>0</v>
      </c>
      <c r="R272">
        <v>0</v>
      </c>
      <c r="S272">
        <v>0</v>
      </c>
      <c r="T272" t="s">
        <v>236</v>
      </c>
      <c r="U272">
        <v>16</v>
      </c>
      <c r="V272" t="s">
        <v>58</v>
      </c>
      <c r="X272" t="s">
        <v>60</v>
      </c>
      <c r="Y272">
        <v>1</v>
      </c>
      <c r="Z272" t="s">
        <v>61</v>
      </c>
      <c r="AG272">
        <v>692</v>
      </c>
      <c r="AH272">
        <v>202</v>
      </c>
      <c r="AI272">
        <v>383</v>
      </c>
      <c r="AJ272">
        <v>2</v>
      </c>
      <c r="AK272">
        <v>0</v>
      </c>
      <c r="AN272">
        <v>0</v>
      </c>
      <c r="AO272" t="s">
        <v>237</v>
      </c>
      <c r="AQ272">
        <v>32.305062</v>
      </c>
      <c r="AR272">
        <v>-96.629757999999995</v>
      </c>
      <c r="AS272">
        <v>93.7</v>
      </c>
      <c r="AT272">
        <v>9</v>
      </c>
      <c r="AU272">
        <v>12</v>
      </c>
      <c r="AV272">
        <v>447</v>
      </c>
      <c r="AW272" t="s">
        <v>238</v>
      </c>
      <c r="AX272">
        <v>48</v>
      </c>
      <c r="AY272">
        <v>48139</v>
      </c>
      <c r="AZ272">
        <v>41</v>
      </c>
    </row>
    <row r="273" spans="1:52" x14ac:dyDescent="0.3">
      <c r="A273">
        <v>32</v>
      </c>
      <c r="B273" s="3">
        <v>260804000000</v>
      </c>
      <c r="C273" t="s">
        <v>255</v>
      </c>
      <c r="D273" t="s">
        <v>1539</v>
      </c>
      <c r="E273">
        <v>2608040</v>
      </c>
      <c r="F273" t="s">
        <v>256</v>
      </c>
      <c r="G273" s="1">
        <v>37207</v>
      </c>
      <c r="H273" t="s">
        <v>246</v>
      </c>
      <c r="I273">
        <v>2001</v>
      </c>
      <c r="J273" s="2">
        <v>0.61111111111111105</v>
      </c>
      <c r="K273" t="s">
        <v>82</v>
      </c>
      <c r="L273" t="s">
        <v>257</v>
      </c>
      <c r="M273" t="s">
        <v>145</v>
      </c>
      <c r="N273" s="4">
        <v>10050811</v>
      </c>
      <c r="O273" t="s">
        <v>56</v>
      </c>
      <c r="P273">
        <v>151</v>
      </c>
      <c r="Q273">
        <v>0</v>
      </c>
      <c r="R273">
        <v>0</v>
      </c>
      <c r="S273">
        <v>0</v>
      </c>
      <c r="T273" t="s">
        <v>70</v>
      </c>
      <c r="U273">
        <v>17</v>
      </c>
      <c r="V273" t="s">
        <v>58</v>
      </c>
      <c r="X273" t="s">
        <v>60</v>
      </c>
      <c r="Y273">
        <v>1</v>
      </c>
      <c r="Z273" t="s">
        <v>61</v>
      </c>
      <c r="AG273">
        <v>126</v>
      </c>
      <c r="AH273">
        <v>2</v>
      </c>
      <c r="AI273">
        <v>23</v>
      </c>
      <c r="AJ273">
        <v>0</v>
      </c>
      <c r="AK273">
        <v>0</v>
      </c>
      <c r="AN273">
        <v>0</v>
      </c>
      <c r="AO273" t="s">
        <v>258</v>
      </c>
      <c r="AP273" t="s">
        <v>155</v>
      </c>
      <c r="AQ273">
        <v>43.458010999999999</v>
      </c>
      <c r="AR273">
        <v>-83.438552999999999</v>
      </c>
      <c r="AT273">
        <v>9</v>
      </c>
      <c r="AU273">
        <v>12</v>
      </c>
      <c r="AV273">
        <v>6</v>
      </c>
      <c r="AW273" t="s">
        <v>259</v>
      </c>
      <c r="AX273">
        <v>26</v>
      </c>
      <c r="AY273">
        <v>26157</v>
      </c>
      <c r="AZ273">
        <v>32</v>
      </c>
    </row>
    <row r="274" spans="1:52" x14ac:dyDescent="0.3">
      <c r="A274">
        <v>38</v>
      </c>
      <c r="B274" s="3">
        <v>440090000000</v>
      </c>
      <c r="C274" t="s">
        <v>283</v>
      </c>
      <c r="D274" t="str">
        <f>IF(ISNUMBER(SEARCH("High",C274)), "High School","")</f>
        <v>High School</v>
      </c>
      <c r="E274">
        <v>4400900</v>
      </c>
      <c r="F274" t="s">
        <v>284</v>
      </c>
      <c r="G274" s="1">
        <v>37643</v>
      </c>
      <c r="H274" t="s">
        <v>270</v>
      </c>
      <c r="I274">
        <v>2003</v>
      </c>
      <c r="K274" t="s">
        <v>90</v>
      </c>
      <c r="L274" t="s">
        <v>285</v>
      </c>
      <c r="M274" t="s">
        <v>286</v>
      </c>
      <c r="N274" s="4">
        <v>1095610</v>
      </c>
      <c r="O274" t="s">
        <v>56</v>
      </c>
      <c r="P274">
        <v>1641</v>
      </c>
      <c r="Q274">
        <v>0</v>
      </c>
      <c r="R274">
        <v>0</v>
      </c>
      <c r="S274">
        <v>0</v>
      </c>
      <c r="T274" t="s">
        <v>70</v>
      </c>
      <c r="V274" t="s">
        <v>58</v>
      </c>
      <c r="X274" t="s">
        <v>60</v>
      </c>
      <c r="Y274">
        <v>0</v>
      </c>
      <c r="AG274">
        <v>247</v>
      </c>
      <c r="AH274">
        <v>396</v>
      </c>
      <c r="AI274">
        <v>831</v>
      </c>
      <c r="AJ274">
        <v>155</v>
      </c>
      <c r="AK274">
        <v>12</v>
      </c>
      <c r="AN274">
        <v>0</v>
      </c>
      <c r="AO274" t="s">
        <v>287</v>
      </c>
      <c r="AQ274">
        <v>41.837980999999999</v>
      </c>
      <c r="AR274">
        <v>-71.451250000000002</v>
      </c>
      <c r="AT274">
        <v>9</v>
      </c>
      <c r="AU274">
        <v>12</v>
      </c>
      <c r="AV274">
        <v>1097</v>
      </c>
      <c r="AW274" t="s">
        <v>288</v>
      </c>
      <c r="AX274">
        <v>44</v>
      </c>
      <c r="AY274">
        <v>44007</v>
      </c>
      <c r="AZ274">
        <v>12</v>
      </c>
    </row>
    <row r="275" spans="1:52" x14ac:dyDescent="0.3">
      <c r="A275">
        <v>39</v>
      </c>
      <c r="B275">
        <v>80723001239</v>
      </c>
      <c r="C275" t="s">
        <v>289</v>
      </c>
      <c r="D275" t="str">
        <f>IF(ISNUMBER(SEARCH("High",C275)), "High School","")</f>
        <v>High School</v>
      </c>
      <c r="E275">
        <v>807230</v>
      </c>
      <c r="F275" t="s">
        <v>290</v>
      </c>
      <c r="G275" s="1">
        <v>37657</v>
      </c>
      <c r="H275" t="s">
        <v>270</v>
      </c>
      <c r="I275">
        <v>2003</v>
      </c>
      <c r="J275" s="2">
        <v>0.3611111111111111</v>
      </c>
      <c r="K275" t="s">
        <v>90</v>
      </c>
      <c r="L275" t="s">
        <v>291</v>
      </c>
      <c r="M275" t="s">
        <v>55</v>
      </c>
      <c r="N275" s="4">
        <v>5812069</v>
      </c>
      <c r="O275" t="s">
        <v>56</v>
      </c>
      <c r="P275">
        <v>1434</v>
      </c>
      <c r="Q275">
        <v>0</v>
      </c>
      <c r="R275">
        <v>0</v>
      </c>
      <c r="S275">
        <v>0</v>
      </c>
      <c r="T275" t="s">
        <v>70</v>
      </c>
      <c r="U275">
        <v>14</v>
      </c>
      <c r="V275" t="s">
        <v>58</v>
      </c>
      <c r="X275" t="s">
        <v>60</v>
      </c>
      <c r="Y275">
        <v>0</v>
      </c>
      <c r="AG275">
        <v>539</v>
      </c>
      <c r="AH275">
        <v>18</v>
      </c>
      <c r="AI275">
        <v>748</v>
      </c>
      <c r="AJ275">
        <v>112</v>
      </c>
      <c r="AK275">
        <v>17</v>
      </c>
      <c r="AN275">
        <v>1</v>
      </c>
      <c r="AO275" t="s">
        <v>292</v>
      </c>
      <c r="AQ275">
        <v>39.841774000000001</v>
      </c>
      <c r="AR275">
        <v>-105.015495</v>
      </c>
      <c r="AS275">
        <v>68</v>
      </c>
      <c r="AT275">
        <v>9</v>
      </c>
      <c r="AU275">
        <v>12</v>
      </c>
      <c r="AV275">
        <v>524</v>
      </c>
      <c r="AW275" t="s">
        <v>293</v>
      </c>
      <c r="AX275">
        <v>8</v>
      </c>
      <c r="AY275">
        <v>8001</v>
      </c>
      <c r="AZ275">
        <v>21</v>
      </c>
    </row>
    <row r="276" spans="1:52" x14ac:dyDescent="0.3">
      <c r="A276">
        <v>45</v>
      </c>
      <c r="B276" s="3">
        <v>530825000000</v>
      </c>
      <c r="C276" t="s">
        <v>313</v>
      </c>
      <c r="D276" t="str">
        <f>IF(ISNUMBER(SEARCH("High",C276)), "High School","")</f>
        <v>High School</v>
      </c>
      <c r="E276">
        <v>5308250</v>
      </c>
      <c r="F276" t="s">
        <v>314</v>
      </c>
      <c r="G276" s="1">
        <v>37886</v>
      </c>
      <c r="H276" t="s">
        <v>310</v>
      </c>
      <c r="I276">
        <v>2003</v>
      </c>
      <c r="J276" s="2">
        <v>0.46527777777777773</v>
      </c>
      <c r="K276" t="s">
        <v>82</v>
      </c>
      <c r="L276" t="s">
        <v>315</v>
      </c>
      <c r="M276" t="s">
        <v>171</v>
      </c>
      <c r="N276" s="4">
        <v>7738692</v>
      </c>
      <c r="O276" t="s">
        <v>56</v>
      </c>
      <c r="P276">
        <v>1992</v>
      </c>
      <c r="Q276">
        <v>0</v>
      </c>
      <c r="R276">
        <v>0</v>
      </c>
      <c r="S276">
        <v>0</v>
      </c>
      <c r="T276" t="s">
        <v>57</v>
      </c>
      <c r="U276">
        <v>16</v>
      </c>
      <c r="V276" t="s">
        <v>58</v>
      </c>
      <c r="W276" t="s">
        <v>59</v>
      </c>
      <c r="X276" t="s">
        <v>60</v>
      </c>
      <c r="Y276">
        <v>0</v>
      </c>
      <c r="AG276">
        <v>1701</v>
      </c>
      <c r="AH276">
        <v>116</v>
      </c>
      <c r="AI276">
        <v>64</v>
      </c>
      <c r="AJ276">
        <v>71</v>
      </c>
      <c r="AK276">
        <v>40</v>
      </c>
      <c r="AN276">
        <v>0</v>
      </c>
      <c r="AO276" t="s">
        <v>316</v>
      </c>
      <c r="AP276" t="s">
        <v>101</v>
      </c>
      <c r="AQ276">
        <v>47.652394000000001</v>
      </c>
      <c r="AR276">
        <v>-117.41984100000001</v>
      </c>
      <c r="AS276">
        <v>92</v>
      </c>
      <c r="AT276">
        <v>9</v>
      </c>
      <c r="AU276">
        <v>12</v>
      </c>
      <c r="AV276">
        <v>545</v>
      </c>
      <c r="AW276" t="s">
        <v>317</v>
      </c>
      <c r="AX276">
        <v>53</v>
      </c>
      <c r="AY276">
        <v>53063</v>
      </c>
      <c r="AZ276">
        <v>12</v>
      </c>
    </row>
    <row r="277" spans="1:52" x14ac:dyDescent="0.3">
      <c r="A277">
        <v>47</v>
      </c>
      <c r="B277" s="3">
        <v>370090000000</v>
      </c>
      <c r="C277" t="s">
        <v>323</v>
      </c>
      <c r="D277" t="str">
        <f>IF(ISNUMBER(SEARCH("Middle",C277)), "Middle School","")</f>
        <v>Middle School</v>
      </c>
      <c r="E277">
        <v>3700900</v>
      </c>
      <c r="F277" t="s">
        <v>324</v>
      </c>
      <c r="G277" s="1">
        <v>37889</v>
      </c>
      <c r="H277" t="s">
        <v>310</v>
      </c>
      <c r="I277">
        <v>2003</v>
      </c>
      <c r="J277" s="2">
        <v>0.33333333333333331</v>
      </c>
      <c r="K277" t="s">
        <v>67</v>
      </c>
      <c r="L277" t="s">
        <v>325</v>
      </c>
      <c r="M277" t="s">
        <v>326</v>
      </c>
      <c r="N277" s="4">
        <v>10551162</v>
      </c>
      <c r="O277" t="s">
        <v>56</v>
      </c>
      <c r="P277">
        <v>1049</v>
      </c>
      <c r="Q277">
        <v>0</v>
      </c>
      <c r="R277">
        <v>0</v>
      </c>
      <c r="S277">
        <v>0</v>
      </c>
      <c r="T277" t="s">
        <v>57</v>
      </c>
      <c r="U277">
        <v>13</v>
      </c>
      <c r="V277" t="s">
        <v>58</v>
      </c>
      <c r="X277" t="s">
        <v>60</v>
      </c>
      <c r="Y277">
        <v>0</v>
      </c>
      <c r="AG277">
        <v>786</v>
      </c>
      <c r="AH277">
        <v>240</v>
      </c>
      <c r="AI277">
        <v>20</v>
      </c>
      <c r="AJ277">
        <v>3</v>
      </c>
      <c r="AK277">
        <v>0</v>
      </c>
      <c r="AN277">
        <v>1</v>
      </c>
      <c r="AO277" t="s">
        <v>327</v>
      </c>
      <c r="AQ277">
        <v>35.425761999999999</v>
      </c>
      <c r="AR277">
        <v>-81.539103999999995</v>
      </c>
      <c r="AS277">
        <v>63</v>
      </c>
      <c r="AT277">
        <v>6</v>
      </c>
      <c r="AU277">
        <v>8</v>
      </c>
      <c r="AV277">
        <v>510</v>
      </c>
      <c r="AW277" t="s">
        <v>328</v>
      </c>
      <c r="AX277">
        <v>37</v>
      </c>
      <c r="AY277">
        <v>37045</v>
      </c>
      <c r="AZ277">
        <v>31</v>
      </c>
    </row>
    <row r="278" spans="1:52" x14ac:dyDescent="0.3">
      <c r="A278">
        <v>54</v>
      </c>
      <c r="B278" s="3">
        <v>180387000000</v>
      </c>
      <c r="C278" t="s">
        <v>358</v>
      </c>
      <c r="D278" t="str">
        <f>IF(ISNUMBER(SEARCH("High",C278)), "High School","")</f>
        <v>High School</v>
      </c>
      <c r="E278">
        <v>1803870</v>
      </c>
      <c r="F278" t="s">
        <v>223</v>
      </c>
      <c r="G278" s="1">
        <v>38245</v>
      </c>
      <c r="H278" t="s">
        <v>356</v>
      </c>
      <c r="I278">
        <v>2004</v>
      </c>
      <c r="K278" t="s">
        <v>90</v>
      </c>
      <c r="L278" t="s">
        <v>224</v>
      </c>
      <c r="M278" t="s">
        <v>225</v>
      </c>
      <c r="N278" s="4">
        <v>6805985</v>
      </c>
      <c r="O278" t="s">
        <v>56</v>
      </c>
      <c r="P278">
        <v>792</v>
      </c>
      <c r="Q278">
        <v>0</v>
      </c>
      <c r="R278">
        <v>0</v>
      </c>
      <c r="S278">
        <v>0</v>
      </c>
      <c r="T278" t="s">
        <v>57</v>
      </c>
      <c r="V278" t="s">
        <v>58</v>
      </c>
      <c r="X278" t="s">
        <v>60</v>
      </c>
      <c r="Y278">
        <v>0</v>
      </c>
      <c r="AG278">
        <v>10</v>
      </c>
      <c r="AH278">
        <v>769</v>
      </c>
      <c r="AI278">
        <v>11</v>
      </c>
      <c r="AJ278">
        <v>2</v>
      </c>
      <c r="AK278">
        <v>0</v>
      </c>
      <c r="AN278">
        <v>0</v>
      </c>
      <c r="AO278" t="s">
        <v>136</v>
      </c>
      <c r="AQ278">
        <v>41.609969999999997</v>
      </c>
      <c r="AR278">
        <v>-87.261449999999996</v>
      </c>
      <c r="AS278">
        <v>49.7</v>
      </c>
      <c r="AT278">
        <v>9</v>
      </c>
      <c r="AU278">
        <v>12</v>
      </c>
      <c r="AV278">
        <v>394</v>
      </c>
      <c r="AW278" t="s">
        <v>227</v>
      </c>
      <c r="AX278">
        <v>18</v>
      </c>
      <c r="AY278">
        <v>18089</v>
      </c>
      <c r="AZ278">
        <v>13</v>
      </c>
    </row>
    <row r="279" spans="1:52" x14ac:dyDescent="0.3">
      <c r="A279">
        <v>58</v>
      </c>
      <c r="B279" s="3">
        <v>173123000000</v>
      </c>
      <c r="C279" t="s">
        <v>368</v>
      </c>
      <c r="D279" t="str">
        <f>IF(ISNUMBER(SEARCH("High",C279)), "High School","")</f>
        <v>High School</v>
      </c>
      <c r="E279">
        <v>1731230</v>
      </c>
      <c r="F279" t="s">
        <v>369</v>
      </c>
      <c r="G279" s="1">
        <v>38378</v>
      </c>
      <c r="H279" t="s">
        <v>356</v>
      </c>
      <c r="I279">
        <v>2005</v>
      </c>
      <c r="K279" t="s">
        <v>90</v>
      </c>
      <c r="L279" t="s">
        <v>370</v>
      </c>
      <c r="M279" t="s">
        <v>129</v>
      </c>
      <c r="N279" s="4">
        <v>12671469</v>
      </c>
      <c r="O279" t="s">
        <v>56</v>
      </c>
      <c r="P279">
        <v>1012</v>
      </c>
      <c r="Q279">
        <v>0</v>
      </c>
      <c r="R279">
        <v>0</v>
      </c>
      <c r="S279">
        <v>0</v>
      </c>
      <c r="T279" t="s">
        <v>70</v>
      </c>
      <c r="U279">
        <v>15</v>
      </c>
      <c r="V279" t="s">
        <v>58</v>
      </c>
      <c r="W279" t="s">
        <v>146</v>
      </c>
      <c r="X279" t="s">
        <v>60</v>
      </c>
      <c r="Y279">
        <v>0</v>
      </c>
      <c r="AG279">
        <v>336</v>
      </c>
      <c r="AH279">
        <v>602</v>
      </c>
      <c r="AI279">
        <v>60</v>
      </c>
      <c r="AJ279">
        <v>14</v>
      </c>
      <c r="AK279">
        <v>0</v>
      </c>
      <c r="AN279">
        <v>0</v>
      </c>
      <c r="AO279" t="s">
        <v>136</v>
      </c>
      <c r="AQ279">
        <v>40.707250000000002</v>
      </c>
      <c r="AR279">
        <v>-89.575130000000001</v>
      </c>
      <c r="AS279">
        <v>65</v>
      </c>
      <c r="AT279">
        <v>9</v>
      </c>
      <c r="AU279">
        <v>12</v>
      </c>
      <c r="AV279">
        <v>606</v>
      </c>
      <c r="AW279" t="s">
        <v>371</v>
      </c>
      <c r="AX279">
        <v>17</v>
      </c>
      <c r="AY279">
        <v>17143</v>
      </c>
      <c r="AZ279">
        <v>12</v>
      </c>
    </row>
    <row r="280" spans="1:52" x14ac:dyDescent="0.3">
      <c r="A280">
        <v>67</v>
      </c>
      <c r="B280" s="3">
        <v>291191000000</v>
      </c>
      <c r="C280" t="s">
        <v>408</v>
      </c>
      <c r="D280" t="str">
        <f>IF(ISNUMBER(SEARCH("High",C280)), "High School","")</f>
        <v>High School</v>
      </c>
      <c r="E280">
        <v>2911910</v>
      </c>
      <c r="F280" t="s">
        <v>409</v>
      </c>
      <c r="G280" s="1">
        <v>38636</v>
      </c>
      <c r="H280" t="s">
        <v>398</v>
      </c>
      <c r="I280">
        <v>2005</v>
      </c>
      <c r="J280" s="2">
        <v>0.33333333333333331</v>
      </c>
      <c r="K280" t="s">
        <v>53</v>
      </c>
      <c r="L280" t="s">
        <v>410</v>
      </c>
      <c r="M280" t="s">
        <v>281</v>
      </c>
      <c r="N280" s="4">
        <v>6168187</v>
      </c>
      <c r="O280" t="s">
        <v>56</v>
      </c>
      <c r="P280">
        <v>1160</v>
      </c>
      <c r="Q280">
        <v>0</v>
      </c>
      <c r="R280">
        <v>0</v>
      </c>
      <c r="S280">
        <v>0</v>
      </c>
      <c r="T280" t="s">
        <v>57</v>
      </c>
      <c r="U280">
        <v>17</v>
      </c>
      <c r="V280" t="s">
        <v>58</v>
      </c>
      <c r="W280" t="s">
        <v>59</v>
      </c>
      <c r="X280" t="s">
        <v>60</v>
      </c>
      <c r="Y280">
        <v>0</v>
      </c>
      <c r="AG280">
        <v>1126</v>
      </c>
      <c r="AH280">
        <v>18</v>
      </c>
      <c r="AI280">
        <v>7</v>
      </c>
      <c r="AJ280">
        <v>8</v>
      </c>
      <c r="AK280">
        <v>1</v>
      </c>
      <c r="AN280">
        <v>0</v>
      </c>
      <c r="AO280" t="s">
        <v>411</v>
      </c>
      <c r="AP280" t="s">
        <v>108</v>
      </c>
      <c r="AQ280">
        <v>37.781080000000003</v>
      </c>
      <c r="AR280">
        <v>-90.436189999999996</v>
      </c>
      <c r="AS280">
        <v>68.599999999999994</v>
      </c>
      <c r="AT280">
        <v>9</v>
      </c>
      <c r="AU280">
        <v>12</v>
      </c>
      <c r="AV280">
        <v>344</v>
      </c>
      <c r="AW280" t="s">
        <v>412</v>
      </c>
      <c r="AX280">
        <v>29</v>
      </c>
      <c r="AY280">
        <v>29187</v>
      </c>
      <c r="AZ280">
        <v>32</v>
      </c>
    </row>
    <row r="281" spans="1:52" x14ac:dyDescent="0.3">
      <c r="A281">
        <v>73</v>
      </c>
      <c r="B281" s="3">
        <v>510081000000</v>
      </c>
      <c r="C281" t="s">
        <v>438</v>
      </c>
      <c r="D281" t="str">
        <f>IF(ISNUMBER(SEARCH("High",C281)), "High School","")</f>
        <v>High School</v>
      </c>
      <c r="E281">
        <v>5100810</v>
      </c>
      <c r="F281" t="s">
        <v>439</v>
      </c>
      <c r="G281" s="1">
        <v>38735</v>
      </c>
      <c r="H281" t="s">
        <v>398</v>
      </c>
      <c r="I281">
        <v>2006</v>
      </c>
      <c r="J281" s="2">
        <v>0.45833333333333331</v>
      </c>
      <c r="K281" t="s">
        <v>90</v>
      </c>
      <c r="L281" t="s">
        <v>440</v>
      </c>
      <c r="M281" t="s">
        <v>441</v>
      </c>
      <c r="N281" s="4">
        <v>8642274</v>
      </c>
      <c r="O281" t="s">
        <v>56</v>
      </c>
      <c r="P281">
        <v>1836</v>
      </c>
      <c r="Q281">
        <v>0</v>
      </c>
      <c r="R281">
        <v>0</v>
      </c>
      <c r="S281">
        <v>0</v>
      </c>
      <c r="T281" t="s">
        <v>70</v>
      </c>
      <c r="U281">
        <v>19</v>
      </c>
      <c r="V281" t="s">
        <v>58</v>
      </c>
      <c r="Y281">
        <v>0</v>
      </c>
      <c r="AG281">
        <v>733</v>
      </c>
      <c r="AH281">
        <v>957</v>
      </c>
      <c r="AI281">
        <v>53</v>
      </c>
      <c r="AJ281">
        <v>69</v>
      </c>
      <c r="AK281">
        <v>6</v>
      </c>
      <c r="AN281">
        <v>0</v>
      </c>
      <c r="AQ281">
        <v>36.79721</v>
      </c>
      <c r="AR281">
        <v>-76.241849999999999</v>
      </c>
      <c r="AS281">
        <v>126</v>
      </c>
      <c r="AT281">
        <v>9</v>
      </c>
      <c r="AU281">
        <v>12</v>
      </c>
      <c r="AV281">
        <v>427</v>
      </c>
      <c r="AW281" t="s">
        <v>442</v>
      </c>
      <c r="AX281">
        <v>51</v>
      </c>
      <c r="AY281">
        <v>51550</v>
      </c>
      <c r="AZ281">
        <v>21</v>
      </c>
    </row>
    <row r="282" spans="1:52" x14ac:dyDescent="0.3">
      <c r="A282">
        <v>85</v>
      </c>
      <c r="B282" s="3">
        <v>291635000000</v>
      </c>
      <c r="C282" t="s">
        <v>497</v>
      </c>
      <c r="D282" t="str">
        <f>IF(ISNUMBER(SEARCH("Middle",C282)), "Middle School","")</f>
        <v>Middle School</v>
      </c>
      <c r="E282">
        <v>2916350</v>
      </c>
      <c r="F282" t="s">
        <v>498</v>
      </c>
      <c r="G282" s="1">
        <v>38999</v>
      </c>
      <c r="H282" t="s">
        <v>471</v>
      </c>
      <c r="I282">
        <v>2006</v>
      </c>
      <c r="J282" s="2">
        <v>0.32291666666666669</v>
      </c>
      <c r="K282" t="s">
        <v>82</v>
      </c>
      <c r="L282" t="s">
        <v>499</v>
      </c>
      <c r="M282" t="s">
        <v>281</v>
      </c>
      <c r="N282" s="4">
        <v>6168187</v>
      </c>
      <c r="O282" t="s">
        <v>56</v>
      </c>
      <c r="P282">
        <v>699</v>
      </c>
      <c r="Q282">
        <v>0</v>
      </c>
      <c r="R282">
        <v>0</v>
      </c>
      <c r="S282">
        <v>0</v>
      </c>
      <c r="T282" t="s">
        <v>57</v>
      </c>
      <c r="U282">
        <v>13</v>
      </c>
      <c r="V282" t="s">
        <v>58</v>
      </c>
      <c r="W282" t="s">
        <v>59</v>
      </c>
      <c r="X282" t="s">
        <v>60</v>
      </c>
      <c r="Y282">
        <v>0</v>
      </c>
      <c r="AG282">
        <v>591</v>
      </c>
      <c r="AH282">
        <v>43</v>
      </c>
      <c r="AI282">
        <v>49</v>
      </c>
      <c r="AJ282">
        <v>7</v>
      </c>
      <c r="AK282">
        <v>9</v>
      </c>
      <c r="AN282">
        <v>0</v>
      </c>
      <c r="AO282" t="s">
        <v>500</v>
      </c>
      <c r="AP282" t="s">
        <v>501</v>
      </c>
      <c r="AQ282">
        <v>37.082769999999996</v>
      </c>
      <c r="AR282">
        <v>-94.515860000000004</v>
      </c>
      <c r="AS282">
        <v>50.3</v>
      </c>
      <c r="AT282">
        <v>6</v>
      </c>
      <c r="AU282">
        <v>8</v>
      </c>
      <c r="AV282">
        <v>312</v>
      </c>
      <c r="AW282" t="s">
        <v>502</v>
      </c>
      <c r="AX282">
        <v>29</v>
      </c>
      <c r="AY282">
        <v>29097</v>
      </c>
      <c r="AZ282">
        <v>13</v>
      </c>
    </row>
    <row r="283" spans="1:52" x14ac:dyDescent="0.3">
      <c r="A283">
        <v>87</v>
      </c>
      <c r="B283" s="3">
        <v>390438000000</v>
      </c>
      <c r="C283" t="s">
        <v>507</v>
      </c>
      <c r="D283" t="str">
        <f>IF(ISNUMBER(SEARCH("High",C283)), "High School","")</f>
        <v>High School</v>
      </c>
      <c r="E283">
        <v>3904375</v>
      </c>
      <c r="F283" t="s">
        <v>508</v>
      </c>
      <c r="G283" s="1">
        <v>39090</v>
      </c>
      <c r="H283" t="s">
        <v>471</v>
      </c>
      <c r="I283">
        <v>2007</v>
      </c>
      <c r="J283" s="2">
        <v>0.44791666666666669</v>
      </c>
      <c r="K283" t="s">
        <v>82</v>
      </c>
      <c r="L283" t="s">
        <v>509</v>
      </c>
      <c r="M283" t="s">
        <v>180</v>
      </c>
      <c r="N283" s="4">
        <v>11780017</v>
      </c>
      <c r="O283" t="s">
        <v>56</v>
      </c>
      <c r="P283">
        <v>745</v>
      </c>
      <c r="Q283">
        <v>0</v>
      </c>
      <c r="R283">
        <v>0</v>
      </c>
      <c r="S283">
        <v>0</v>
      </c>
      <c r="T283" t="s">
        <v>70</v>
      </c>
      <c r="U283">
        <v>16</v>
      </c>
      <c r="V283" t="s">
        <v>58</v>
      </c>
      <c r="X283" t="s">
        <v>60</v>
      </c>
      <c r="Y283">
        <v>0</v>
      </c>
      <c r="AG283">
        <v>20</v>
      </c>
      <c r="AH283">
        <v>715</v>
      </c>
      <c r="AI283">
        <v>0</v>
      </c>
      <c r="AJ283">
        <v>0</v>
      </c>
      <c r="AK283">
        <v>0</v>
      </c>
      <c r="AN283">
        <v>0</v>
      </c>
      <c r="AQ283">
        <v>39.109110000000001</v>
      </c>
      <c r="AR283">
        <v>-84.521829999999994</v>
      </c>
      <c r="AS283">
        <v>46</v>
      </c>
      <c r="AT283">
        <v>9</v>
      </c>
      <c r="AU283">
        <v>12</v>
      </c>
      <c r="AV283">
        <v>397</v>
      </c>
      <c r="AW283" t="s">
        <v>183</v>
      </c>
      <c r="AX283">
        <v>39</v>
      </c>
      <c r="AY283">
        <v>39061</v>
      </c>
      <c r="AZ283">
        <v>11</v>
      </c>
    </row>
    <row r="284" spans="1:52" x14ac:dyDescent="0.3">
      <c r="A284">
        <v>92</v>
      </c>
      <c r="B284" s="3">
        <v>482829000000</v>
      </c>
      <c r="C284" t="s">
        <v>524</v>
      </c>
      <c r="D284" t="str">
        <f>IF(ISNUMBER(SEARCH("Middle",C284)), "Middle School","")</f>
        <v>Middle School</v>
      </c>
      <c r="E284">
        <v>4828290</v>
      </c>
      <c r="F284" t="s">
        <v>525</v>
      </c>
      <c r="G284" s="1">
        <v>39217</v>
      </c>
      <c r="H284" t="s">
        <v>471</v>
      </c>
      <c r="I284">
        <v>2007</v>
      </c>
      <c r="J284" s="2">
        <v>0.41666666666666669</v>
      </c>
      <c r="K284" t="s">
        <v>53</v>
      </c>
      <c r="L284" t="s">
        <v>526</v>
      </c>
      <c r="M284" t="s">
        <v>205</v>
      </c>
      <c r="N284" s="4">
        <v>29527941</v>
      </c>
      <c r="O284" t="s">
        <v>56</v>
      </c>
      <c r="P284">
        <v>505</v>
      </c>
      <c r="Q284">
        <v>0</v>
      </c>
      <c r="R284">
        <v>0</v>
      </c>
      <c r="S284">
        <v>0</v>
      </c>
      <c r="T284" t="s">
        <v>57</v>
      </c>
      <c r="U284">
        <v>14</v>
      </c>
      <c r="V284" t="s">
        <v>58</v>
      </c>
      <c r="X284" t="s">
        <v>60</v>
      </c>
      <c r="Y284">
        <v>0</v>
      </c>
      <c r="AG284">
        <v>18</v>
      </c>
      <c r="AH284">
        <v>0</v>
      </c>
      <c r="AI284">
        <v>487</v>
      </c>
      <c r="AJ284">
        <v>0</v>
      </c>
      <c r="AK284">
        <v>0</v>
      </c>
      <c r="AN284">
        <v>0</v>
      </c>
      <c r="AO284" t="s">
        <v>527</v>
      </c>
      <c r="AP284" t="s">
        <v>108</v>
      </c>
      <c r="AQ284">
        <v>26.110600000000002</v>
      </c>
      <c r="AR284">
        <v>-97.510800000000003</v>
      </c>
      <c r="AS284">
        <v>35</v>
      </c>
      <c r="AT284">
        <v>6</v>
      </c>
      <c r="AU284">
        <v>8</v>
      </c>
      <c r="AV284">
        <v>187</v>
      </c>
      <c r="AW284" t="s">
        <v>528</v>
      </c>
      <c r="AX284">
        <v>48</v>
      </c>
      <c r="AY284">
        <v>48061</v>
      </c>
      <c r="AZ284">
        <v>41</v>
      </c>
    </row>
    <row r="285" spans="1:52" x14ac:dyDescent="0.3">
      <c r="A285">
        <v>93</v>
      </c>
      <c r="B285" s="3">
        <v>120087000000</v>
      </c>
      <c r="C285" t="s">
        <v>529</v>
      </c>
      <c r="D285" t="str">
        <f>IF(ISNUMBER(SEARCH("High",C285)), "High School","")</f>
        <v>High School</v>
      </c>
      <c r="E285">
        <v>1200870</v>
      </c>
      <c r="F285" t="s">
        <v>472</v>
      </c>
      <c r="G285" s="1">
        <v>39239</v>
      </c>
      <c r="H285" t="s">
        <v>471</v>
      </c>
      <c r="I285">
        <v>2007</v>
      </c>
      <c r="J285" s="2">
        <v>0.5</v>
      </c>
      <c r="K285" t="s">
        <v>90</v>
      </c>
      <c r="L285" t="s">
        <v>530</v>
      </c>
      <c r="M285" t="s">
        <v>113</v>
      </c>
      <c r="N285" s="4">
        <v>21781128</v>
      </c>
      <c r="O285" t="s">
        <v>56</v>
      </c>
      <c r="P285">
        <v>1799</v>
      </c>
      <c r="Q285">
        <v>0</v>
      </c>
      <c r="R285">
        <v>0</v>
      </c>
      <c r="S285">
        <v>0</v>
      </c>
      <c r="T285" t="s">
        <v>70</v>
      </c>
      <c r="U285">
        <v>17</v>
      </c>
      <c r="V285" t="s">
        <v>58</v>
      </c>
      <c r="X285" t="s">
        <v>381</v>
      </c>
      <c r="Y285">
        <v>0</v>
      </c>
      <c r="AG285">
        <v>268</v>
      </c>
      <c r="AH285">
        <v>1256</v>
      </c>
      <c r="AI285">
        <v>202</v>
      </c>
      <c r="AJ285">
        <v>29</v>
      </c>
      <c r="AK285">
        <v>4</v>
      </c>
      <c r="AN285">
        <v>1</v>
      </c>
      <c r="AO285" t="s">
        <v>173</v>
      </c>
      <c r="AQ285">
        <v>27.991330000000001</v>
      </c>
      <c r="AR285">
        <v>-82.432670000000002</v>
      </c>
      <c r="AS285">
        <v>91</v>
      </c>
      <c r="AT285">
        <v>9</v>
      </c>
      <c r="AU285">
        <v>12</v>
      </c>
      <c r="AV285">
        <v>1091</v>
      </c>
      <c r="AW285" t="s">
        <v>531</v>
      </c>
      <c r="AX285">
        <v>12</v>
      </c>
      <c r="AY285">
        <v>12057</v>
      </c>
      <c r="AZ285">
        <v>11</v>
      </c>
    </row>
    <row r="286" spans="1:52" x14ac:dyDescent="0.3">
      <c r="A286">
        <v>95</v>
      </c>
      <c r="B286" s="3">
        <v>130102000000</v>
      </c>
      <c r="C286" t="s">
        <v>538</v>
      </c>
      <c r="D286" t="str">
        <f>IF(ISNUMBER(SEARCH("High",C286)), "High School","")</f>
        <v>High School</v>
      </c>
      <c r="E286">
        <v>1301020</v>
      </c>
      <c r="F286" t="s">
        <v>539</v>
      </c>
      <c r="G286" s="1">
        <v>39370</v>
      </c>
      <c r="H286" t="s">
        <v>534</v>
      </c>
      <c r="I286">
        <v>2007</v>
      </c>
      <c r="J286" s="2">
        <v>0.61458333333333337</v>
      </c>
      <c r="K286" t="s">
        <v>82</v>
      </c>
      <c r="L286" t="s">
        <v>540</v>
      </c>
      <c r="M286" t="s">
        <v>77</v>
      </c>
      <c r="N286" s="4">
        <v>10799566</v>
      </c>
      <c r="O286" t="s">
        <v>56</v>
      </c>
      <c r="P286">
        <v>1534</v>
      </c>
      <c r="Q286">
        <v>0</v>
      </c>
      <c r="R286">
        <v>0</v>
      </c>
      <c r="S286">
        <v>0</v>
      </c>
      <c r="T286" t="s">
        <v>70</v>
      </c>
      <c r="V286" t="s">
        <v>58</v>
      </c>
      <c r="Y286">
        <v>0</v>
      </c>
      <c r="AG286">
        <v>381</v>
      </c>
      <c r="AH286">
        <v>997</v>
      </c>
      <c r="AI286">
        <v>89</v>
      </c>
      <c r="AJ286">
        <v>37</v>
      </c>
      <c r="AK286">
        <v>3</v>
      </c>
      <c r="AN286">
        <v>0</v>
      </c>
      <c r="AQ286">
        <v>32.108409999999999</v>
      </c>
      <c r="AR286">
        <v>-81.156610000000001</v>
      </c>
      <c r="AS286">
        <v>90</v>
      </c>
      <c r="AT286">
        <v>9</v>
      </c>
      <c r="AU286">
        <v>12</v>
      </c>
      <c r="AV286">
        <v>799</v>
      </c>
      <c r="AW286" t="s">
        <v>539</v>
      </c>
      <c r="AX286">
        <v>13</v>
      </c>
      <c r="AY286">
        <v>13051</v>
      </c>
      <c r="AZ286">
        <v>22</v>
      </c>
    </row>
    <row r="287" spans="1:52" x14ac:dyDescent="0.3">
      <c r="A287">
        <v>106</v>
      </c>
      <c r="B287">
        <v>61674002125</v>
      </c>
      <c r="C287" t="s">
        <v>576</v>
      </c>
      <c r="D287" t="str">
        <f>IF(ISNUMBER(SEARCH("Elementary",C287)), "Elementary School","")</f>
        <v>Elementary School</v>
      </c>
      <c r="E287">
        <v>616740</v>
      </c>
      <c r="F287" t="s">
        <v>577</v>
      </c>
      <c r="G287" s="1">
        <v>39864</v>
      </c>
      <c r="H287" t="s">
        <v>565</v>
      </c>
      <c r="I287">
        <v>2009</v>
      </c>
      <c r="J287" s="2">
        <v>0.5</v>
      </c>
      <c r="K287" t="s">
        <v>95</v>
      </c>
      <c r="L287" t="s">
        <v>578</v>
      </c>
      <c r="M287" t="s">
        <v>121</v>
      </c>
      <c r="N287" s="4">
        <v>39237836</v>
      </c>
      <c r="O287" t="s">
        <v>56</v>
      </c>
      <c r="P287">
        <v>354</v>
      </c>
      <c r="Q287">
        <v>0</v>
      </c>
      <c r="R287">
        <v>0</v>
      </c>
      <c r="S287">
        <v>0</v>
      </c>
      <c r="T287" t="s">
        <v>70</v>
      </c>
      <c r="V287" t="s">
        <v>99</v>
      </c>
      <c r="W287" t="s">
        <v>58</v>
      </c>
      <c r="Y287">
        <v>0</v>
      </c>
      <c r="AG287">
        <v>13</v>
      </c>
      <c r="AH287">
        <v>54</v>
      </c>
      <c r="AI287">
        <v>252</v>
      </c>
      <c r="AJ287">
        <v>34</v>
      </c>
      <c r="AK287">
        <v>1</v>
      </c>
      <c r="AN287">
        <v>0</v>
      </c>
      <c r="AO287" t="s">
        <v>579</v>
      </c>
      <c r="AQ287">
        <v>37.656599999999997</v>
      </c>
      <c r="AR287">
        <v>-122.083</v>
      </c>
      <c r="AS287">
        <v>20.399999999999999</v>
      </c>
      <c r="AT287" t="s">
        <v>124</v>
      </c>
      <c r="AU287">
        <v>6</v>
      </c>
      <c r="AW287" t="s">
        <v>353</v>
      </c>
      <c r="AX287">
        <v>6</v>
      </c>
      <c r="AY287">
        <v>6001</v>
      </c>
      <c r="AZ287">
        <v>12</v>
      </c>
    </row>
    <row r="288" spans="1:52" x14ac:dyDescent="0.3">
      <c r="A288">
        <v>107</v>
      </c>
      <c r="B288" s="3">
        <v>120048000000</v>
      </c>
      <c r="C288" t="s">
        <v>580</v>
      </c>
      <c r="D288" t="str">
        <f>IF(ISNUMBER(SEARCH("High",C288)), "High School","")</f>
        <v>High School</v>
      </c>
      <c r="E288">
        <v>1200480</v>
      </c>
      <c r="F288" t="s">
        <v>581</v>
      </c>
      <c r="G288" s="1">
        <v>39882</v>
      </c>
      <c r="H288" t="s">
        <v>565</v>
      </c>
      <c r="I288">
        <v>2009</v>
      </c>
      <c r="J288" s="2">
        <v>0.30694444444444441</v>
      </c>
      <c r="K288" t="s">
        <v>53</v>
      </c>
      <c r="L288" t="s">
        <v>404</v>
      </c>
      <c r="M288" t="s">
        <v>113</v>
      </c>
      <c r="N288" s="4">
        <v>21781128</v>
      </c>
      <c r="O288" t="s">
        <v>56</v>
      </c>
      <c r="P288">
        <v>1131</v>
      </c>
      <c r="Q288">
        <v>0</v>
      </c>
      <c r="R288">
        <v>0</v>
      </c>
      <c r="S288">
        <v>0</v>
      </c>
      <c r="T288" t="s">
        <v>70</v>
      </c>
      <c r="Y288">
        <v>0</v>
      </c>
      <c r="AG288">
        <v>53</v>
      </c>
      <c r="AH288">
        <v>1051</v>
      </c>
      <c r="AI288">
        <v>15</v>
      </c>
      <c r="AJ288">
        <v>2</v>
      </c>
      <c r="AK288">
        <v>0</v>
      </c>
      <c r="AN288">
        <v>0</v>
      </c>
      <c r="AQ288">
        <v>30.389500000000002</v>
      </c>
      <c r="AR288">
        <v>-81.706999999999994</v>
      </c>
      <c r="AS288">
        <v>67.400000000000006</v>
      </c>
      <c r="AT288">
        <v>9</v>
      </c>
      <c r="AU288">
        <v>12</v>
      </c>
      <c r="AV288">
        <v>609</v>
      </c>
      <c r="AW288" t="s">
        <v>405</v>
      </c>
      <c r="AX288">
        <v>12</v>
      </c>
      <c r="AY288">
        <v>12031</v>
      </c>
      <c r="AZ288">
        <v>11</v>
      </c>
    </row>
    <row r="289" spans="1:52" x14ac:dyDescent="0.3">
      <c r="A289">
        <v>108</v>
      </c>
      <c r="B289" s="3">
        <v>220090000000</v>
      </c>
      <c r="C289" t="s">
        <v>582</v>
      </c>
      <c r="D289" t="str">
        <f>IF(ISNUMBER(SEARCH("Middle",C289)), "Middle School","")</f>
        <v>Middle School</v>
      </c>
      <c r="E289">
        <v>2200900</v>
      </c>
      <c r="F289" t="s">
        <v>583</v>
      </c>
      <c r="G289" s="1">
        <v>39951</v>
      </c>
      <c r="H289" t="s">
        <v>565</v>
      </c>
      <c r="I289">
        <v>2009</v>
      </c>
      <c r="J289" s="2">
        <v>0.375</v>
      </c>
      <c r="K289" t="s">
        <v>82</v>
      </c>
      <c r="L289" t="s">
        <v>584</v>
      </c>
      <c r="M289" t="s">
        <v>69</v>
      </c>
      <c r="N289" s="4">
        <v>4624047</v>
      </c>
      <c r="O289" t="s">
        <v>56</v>
      </c>
      <c r="P289">
        <v>512</v>
      </c>
      <c r="Q289">
        <v>0</v>
      </c>
      <c r="R289">
        <v>0</v>
      </c>
      <c r="S289">
        <v>0</v>
      </c>
      <c r="T289" t="s">
        <v>70</v>
      </c>
      <c r="U289">
        <v>15</v>
      </c>
      <c r="V289" t="s">
        <v>58</v>
      </c>
      <c r="X289" t="s">
        <v>60</v>
      </c>
      <c r="Y289">
        <v>1</v>
      </c>
      <c r="Z289" t="s">
        <v>61</v>
      </c>
      <c r="AG289">
        <v>405</v>
      </c>
      <c r="AH289">
        <v>28</v>
      </c>
      <c r="AI289">
        <v>23</v>
      </c>
      <c r="AJ289">
        <v>15</v>
      </c>
      <c r="AK289">
        <v>41</v>
      </c>
      <c r="AN289">
        <v>0</v>
      </c>
      <c r="AO289" t="s">
        <v>585</v>
      </c>
      <c r="AP289" t="s">
        <v>108</v>
      </c>
      <c r="AQ289">
        <v>29.500399999999999</v>
      </c>
      <c r="AR289">
        <v>-90.329499999999996</v>
      </c>
      <c r="AS289">
        <v>37.799999999999997</v>
      </c>
      <c r="AT289">
        <v>6</v>
      </c>
      <c r="AU289">
        <v>8</v>
      </c>
      <c r="AV289">
        <v>265</v>
      </c>
      <c r="AW289" t="s">
        <v>583</v>
      </c>
      <c r="AX289">
        <v>22</v>
      </c>
      <c r="AY289">
        <v>22057</v>
      </c>
      <c r="AZ289">
        <v>41</v>
      </c>
    </row>
    <row r="290" spans="1:52" x14ac:dyDescent="0.3">
      <c r="A290">
        <v>109</v>
      </c>
      <c r="B290">
        <v>90003101405</v>
      </c>
      <c r="C290" t="s">
        <v>586</v>
      </c>
      <c r="D290" t="s">
        <v>1539</v>
      </c>
      <c r="E290">
        <v>900031</v>
      </c>
      <c r="F290" t="s">
        <v>586</v>
      </c>
      <c r="G290" s="1">
        <v>40064</v>
      </c>
      <c r="H290" t="s">
        <v>587</v>
      </c>
      <c r="I290">
        <v>2009</v>
      </c>
      <c r="J290" s="2">
        <v>0.33680555555555558</v>
      </c>
      <c r="K290" t="s">
        <v>53</v>
      </c>
      <c r="L290" t="s">
        <v>588</v>
      </c>
      <c r="M290" t="s">
        <v>589</v>
      </c>
      <c r="N290" s="4">
        <v>3605597</v>
      </c>
      <c r="O290" t="s">
        <v>56</v>
      </c>
      <c r="P290">
        <v>131</v>
      </c>
      <c r="Q290">
        <v>0</v>
      </c>
      <c r="R290">
        <v>0</v>
      </c>
      <c r="S290">
        <v>0</v>
      </c>
      <c r="T290" t="s">
        <v>70</v>
      </c>
      <c r="U290">
        <v>16</v>
      </c>
      <c r="V290" t="s">
        <v>58</v>
      </c>
      <c r="X290" t="s">
        <v>60</v>
      </c>
      <c r="Y290">
        <v>0</v>
      </c>
      <c r="AG290">
        <v>7</v>
      </c>
      <c r="AH290">
        <v>89</v>
      </c>
      <c r="AI290">
        <v>33</v>
      </c>
      <c r="AJ290">
        <v>2</v>
      </c>
      <c r="AK290">
        <v>0</v>
      </c>
      <c r="AN290">
        <v>0</v>
      </c>
      <c r="AO290" t="s">
        <v>420</v>
      </c>
      <c r="AQ290">
        <v>41.059328999999998</v>
      </c>
      <c r="AR290">
        <v>-73.536463999999995</v>
      </c>
      <c r="AS290">
        <v>8</v>
      </c>
      <c r="AT290">
        <v>9</v>
      </c>
      <c r="AU290">
        <v>12</v>
      </c>
      <c r="AV290">
        <v>111</v>
      </c>
      <c r="AW290" t="s">
        <v>590</v>
      </c>
      <c r="AX290">
        <v>9</v>
      </c>
      <c r="AY290">
        <v>9001</v>
      </c>
      <c r="AZ290">
        <v>12</v>
      </c>
    </row>
    <row r="291" spans="1:52" x14ac:dyDescent="0.3">
      <c r="A291">
        <v>110</v>
      </c>
      <c r="B291" s="3">
        <v>510189000000</v>
      </c>
      <c r="C291" t="s">
        <v>591</v>
      </c>
      <c r="D291" t="str">
        <f>IF(ISNUMBER(SEARCH("High",C291)), "High School","")</f>
        <v>High School</v>
      </c>
      <c r="E291">
        <v>5101890</v>
      </c>
      <c r="F291" t="s">
        <v>592</v>
      </c>
      <c r="G291" s="1">
        <v>40072</v>
      </c>
      <c r="H291" t="s">
        <v>587</v>
      </c>
      <c r="I291">
        <v>2009</v>
      </c>
      <c r="J291" s="2">
        <v>0.52083333333333337</v>
      </c>
      <c r="K291" t="s">
        <v>90</v>
      </c>
      <c r="L291" t="s">
        <v>593</v>
      </c>
      <c r="M291" t="s">
        <v>441</v>
      </c>
      <c r="N291" s="4">
        <v>8642274</v>
      </c>
      <c r="O291" t="s">
        <v>56</v>
      </c>
      <c r="P291">
        <v>292</v>
      </c>
      <c r="Q291">
        <v>0</v>
      </c>
      <c r="R291">
        <v>0</v>
      </c>
      <c r="S291">
        <v>0</v>
      </c>
      <c r="T291" t="s">
        <v>70</v>
      </c>
      <c r="U291">
        <v>16</v>
      </c>
      <c r="V291" t="s">
        <v>58</v>
      </c>
      <c r="X291" t="s">
        <v>60</v>
      </c>
      <c r="Y291">
        <v>0</v>
      </c>
      <c r="AG291">
        <v>66</v>
      </c>
      <c r="AH291">
        <v>186</v>
      </c>
      <c r="AI291">
        <v>13</v>
      </c>
      <c r="AJ291">
        <v>3</v>
      </c>
      <c r="AK291">
        <v>0</v>
      </c>
      <c r="AN291">
        <v>0</v>
      </c>
      <c r="AO291" t="s">
        <v>594</v>
      </c>
      <c r="AQ291">
        <v>37.661586</v>
      </c>
      <c r="AR291">
        <v>-77.483135000000004</v>
      </c>
      <c r="AS291">
        <v>30.18</v>
      </c>
      <c r="AT291">
        <v>8</v>
      </c>
      <c r="AU291">
        <v>12</v>
      </c>
      <c r="AV291">
        <v>237</v>
      </c>
      <c r="AW291" t="s">
        <v>595</v>
      </c>
      <c r="AX291">
        <v>51</v>
      </c>
      <c r="AY291">
        <v>51087</v>
      </c>
      <c r="AZ291">
        <v>21</v>
      </c>
    </row>
    <row r="292" spans="1:52" x14ac:dyDescent="0.3">
      <c r="A292">
        <v>116</v>
      </c>
      <c r="B292" s="3">
        <v>510300000000</v>
      </c>
      <c r="C292" t="s">
        <v>621</v>
      </c>
      <c r="D292" t="str">
        <f>IF(ISNUMBER(SEARCH("High",C292)), "High School","")</f>
        <v>High School</v>
      </c>
      <c r="E292">
        <v>5103000</v>
      </c>
      <c r="F292" t="s">
        <v>622</v>
      </c>
      <c r="G292" s="1">
        <v>40296</v>
      </c>
      <c r="H292" t="s">
        <v>587</v>
      </c>
      <c r="I292">
        <v>2010</v>
      </c>
      <c r="J292" s="2">
        <v>0.51041666666666663</v>
      </c>
      <c r="K292" t="s">
        <v>90</v>
      </c>
      <c r="L292" t="s">
        <v>549</v>
      </c>
      <c r="M292" t="s">
        <v>441</v>
      </c>
      <c r="N292" s="4">
        <v>8642274</v>
      </c>
      <c r="O292" t="s">
        <v>56</v>
      </c>
      <c r="P292">
        <v>1309</v>
      </c>
      <c r="Q292">
        <v>0</v>
      </c>
      <c r="R292">
        <v>0</v>
      </c>
      <c r="S292">
        <v>0</v>
      </c>
      <c r="T292" t="s">
        <v>57</v>
      </c>
      <c r="U292">
        <v>15</v>
      </c>
      <c r="V292" t="s">
        <v>58</v>
      </c>
      <c r="W292" t="s">
        <v>146</v>
      </c>
      <c r="X292" t="s">
        <v>60</v>
      </c>
      <c r="Y292">
        <v>0</v>
      </c>
      <c r="AG292">
        <v>446</v>
      </c>
      <c r="AH292">
        <v>818</v>
      </c>
      <c r="AI292">
        <v>22</v>
      </c>
      <c r="AJ292">
        <v>19</v>
      </c>
      <c r="AK292">
        <v>4</v>
      </c>
      <c r="AN292">
        <v>0</v>
      </c>
      <c r="AO292" t="s">
        <v>136</v>
      </c>
      <c r="AQ292">
        <v>36.815009000000003</v>
      </c>
      <c r="AR292">
        <v>-76.381349</v>
      </c>
      <c r="AS292">
        <v>64.33</v>
      </c>
      <c r="AT292">
        <v>9</v>
      </c>
      <c r="AU292">
        <v>12</v>
      </c>
      <c r="AV292">
        <v>695</v>
      </c>
      <c r="AW292" t="s">
        <v>623</v>
      </c>
      <c r="AX292">
        <v>51</v>
      </c>
      <c r="AY292">
        <v>51740</v>
      </c>
      <c r="AZ292">
        <v>12</v>
      </c>
    </row>
    <row r="293" spans="1:52" x14ac:dyDescent="0.3">
      <c r="A293">
        <v>122</v>
      </c>
      <c r="B293" s="3">
        <v>550870000000</v>
      </c>
      <c r="C293" t="s">
        <v>640</v>
      </c>
      <c r="D293" t="str">
        <f>IF(ISNUMBER(SEARCH("High",C293)), "High School","")</f>
        <v>High School</v>
      </c>
      <c r="E293">
        <v>5508700</v>
      </c>
      <c r="F293" t="s">
        <v>641</v>
      </c>
      <c r="G293" s="1">
        <v>40511</v>
      </c>
      <c r="H293" t="s">
        <v>628</v>
      </c>
      <c r="I293">
        <v>2010</v>
      </c>
      <c r="J293" s="2">
        <v>0.5625</v>
      </c>
      <c r="K293" t="s">
        <v>82</v>
      </c>
      <c r="L293" t="s">
        <v>642</v>
      </c>
      <c r="M293" t="s">
        <v>429</v>
      </c>
      <c r="N293" s="4">
        <v>5895908</v>
      </c>
      <c r="O293" t="s">
        <v>56</v>
      </c>
      <c r="P293">
        <v>690</v>
      </c>
      <c r="Q293">
        <v>0</v>
      </c>
      <c r="R293">
        <v>0</v>
      </c>
      <c r="S293">
        <v>0</v>
      </c>
      <c r="T293" t="s">
        <v>236</v>
      </c>
      <c r="U293">
        <v>15</v>
      </c>
      <c r="V293" t="s">
        <v>58</v>
      </c>
      <c r="W293" t="s">
        <v>59</v>
      </c>
      <c r="X293" t="s">
        <v>60</v>
      </c>
      <c r="Y293">
        <v>1</v>
      </c>
      <c r="Z293" t="s">
        <v>61</v>
      </c>
      <c r="AG293">
        <v>658</v>
      </c>
      <c r="AH293">
        <v>4</v>
      </c>
      <c r="AI293">
        <v>17</v>
      </c>
      <c r="AJ293">
        <v>2</v>
      </c>
      <c r="AK293">
        <v>8</v>
      </c>
      <c r="AL293">
        <v>1</v>
      </c>
      <c r="AM293">
        <v>0</v>
      </c>
      <c r="AN293">
        <v>0</v>
      </c>
      <c r="AO293" t="s">
        <v>136</v>
      </c>
      <c r="AQ293">
        <v>45.084350999999998</v>
      </c>
      <c r="AR293">
        <v>-87.629512000000005</v>
      </c>
      <c r="AS293">
        <v>44.69</v>
      </c>
      <c r="AT293">
        <v>9</v>
      </c>
      <c r="AU293">
        <v>12</v>
      </c>
      <c r="AV293">
        <v>283</v>
      </c>
      <c r="AW293" t="s">
        <v>643</v>
      </c>
      <c r="AX293">
        <v>55</v>
      </c>
      <c r="AY293">
        <v>55075</v>
      </c>
      <c r="AZ293">
        <v>41</v>
      </c>
    </row>
    <row r="294" spans="1:52" x14ac:dyDescent="0.3">
      <c r="A294">
        <v>132</v>
      </c>
      <c r="B294" s="3">
        <v>330299000000</v>
      </c>
      <c r="C294" t="s">
        <v>679</v>
      </c>
      <c r="D294" t="str">
        <f>IF(ISNUMBER(SEARCH("Elementary",C294)), "Elementary School","")</f>
        <v>Elementary School</v>
      </c>
      <c r="E294">
        <v>3302990</v>
      </c>
      <c r="F294" t="s">
        <v>680</v>
      </c>
      <c r="G294" s="1">
        <v>40949</v>
      </c>
      <c r="H294" t="s">
        <v>671</v>
      </c>
      <c r="I294">
        <v>2012</v>
      </c>
      <c r="J294" s="2">
        <v>0.45833333333333331</v>
      </c>
      <c r="K294" t="s">
        <v>95</v>
      </c>
      <c r="L294" t="s">
        <v>681</v>
      </c>
      <c r="M294" t="s">
        <v>682</v>
      </c>
      <c r="N294" s="4">
        <v>1388992</v>
      </c>
      <c r="O294" t="s">
        <v>56</v>
      </c>
      <c r="P294">
        <v>149</v>
      </c>
      <c r="Q294">
        <v>0</v>
      </c>
      <c r="R294">
        <v>0</v>
      </c>
      <c r="S294">
        <v>0</v>
      </c>
      <c r="T294" t="s">
        <v>683</v>
      </c>
      <c r="U294">
        <v>14</v>
      </c>
      <c r="V294" t="s">
        <v>58</v>
      </c>
      <c r="X294" t="s">
        <v>60</v>
      </c>
      <c r="Y294">
        <v>0</v>
      </c>
      <c r="AG294">
        <v>139</v>
      </c>
      <c r="AH294">
        <v>0</v>
      </c>
      <c r="AI294">
        <v>5</v>
      </c>
      <c r="AJ294">
        <v>1</v>
      </c>
      <c r="AK294">
        <v>1</v>
      </c>
      <c r="AL294">
        <v>0</v>
      </c>
      <c r="AM294">
        <v>3</v>
      </c>
      <c r="AN294">
        <v>0</v>
      </c>
      <c r="AO294" t="s">
        <v>684</v>
      </c>
      <c r="AQ294">
        <v>43.078915000000002</v>
      </c>
      <c r="AR294">
        <v>-72.426439000000002</v>
      </c>
      <c r="AS294">
        <v>15.3</v>
      </c>
      <c r="AT294">
        <v>5</v>
      </c>
      <c r="AU294">
        <v>8</v>
      </c>
      <c r="AV294">
        <v>42</v>
      </c>
      <c r="AW294" t="s">
        <v>685</v>
      </c>
      <c r="AX294">
        <v>33</v>
      </c>
      <c r="AY294">
        <v>33005</v>
      </c>
      <c r="AZ294">
        <v>42</v>
      </c>
    </row>
    <row r="295" spans="1:52" x14ac:dyDescent="0.3">
      <c r="A295">
        <v>136</v>
      </c>
      <c r="B295">
        <v>10237000962</v>
      </c>
      <c r="C295" t="s">
        <v>702</v>
      </c>
      <c r="D295" t="str">
        <f>IF(ISNUMBER(SEARCH("High",C295)), "High School","")</f>
        <v>High School</v>
      </c>
      <c r="E295">
        <v>102370</v>
      </c>
      <c r="F295" t="s">
        <v>703</v>
      </c>
      <c r="G295" s="1">
        <v>40983</v>
      </c>
      <c r="H295" t="s">
        <v>671</v>
      </c>
      <c r="I295">
        <v>2012</v>
      </c>
      <c r="J295" s="2">
        <v>0.4513888888888889</v>
      </c>
      <c r="K295" t="s">
        <v>67</v>
      </c>
      <c r="L295" t="s">
        <v>704</v>
      </c>
      <c r="M295" t="s">
        <v>614</v>
      </c>
      <c r="N295" s="4">
        <v>5039877</v>
      </c>
      <c r="O295" t="s">
        <v>56</v>
      </c>
      <c r="P295">
        <v>921</v>
      </c>
      <c r="Q295">
        <v>0</v>
      </c>
      <c r="R295">
        <v>0</v>
      </c>
      <c r="S295">
        <v>0</v>
      </c>
      <c r="T295" t="s">
        <v>70</v>
      </c>
      <c r="U295">
        <v>16</v>
      </c>
      <c r="V295" t="s">
        <v>58</v>
      </c>
      <c r="W295" t="s">
        <v>146</v>
      </c>
      <c r="X295" t="s">
        <v>705</v>
      </c>
      <c r="Y295">
        <v>0</v>
      </c>
      <c r="AA295">
        <v>15</v>
      </c>
      <c r="AB295" t="s">
        <v>58</v>
      </c>
      <c r="AE295">
        <v>0</v>
      </c>
      <c r="AG295">
        <v>5</v>
      </c>
      <c r="AH295">
        <v>912</v>
      </c>
      <c r="AI295">
        <v>2</v>
      </c>
      <c r="AJ295">
        <v>0</v>
      </c>
      <c r="AK295">
        <v>1</v>
      </c>
      <c r="AL295">
        <v>0</v>
      </c>
      <c r="AM295">
        <v>1</v>
      </c>
      <c r="AN295">
        <v>0</v>
      </c>
      <c r="AO295" t="s">
        <v>136</v>
      </c>
      <c r="AQ295">
        <v>30.714209</v>
      </c>
      <c r="AR295">
        <v>-88.086526000000006</v>
      </c>
      <c r="AS295">
        <v>56</v>
      </c>
      <c r="AT295">
        <v>8</v>
      </c>
      <c r="AU295">
        <v>12</v>
      </c>
      <c r="AV295">
        <v>774</v>
      </c>
      <c r="AW295" t="s">
        <v>703</v>
      </c>
      <c r="AX295">
        <v>1</v>
      </c>
      <c r="AY295">
        <v>1097</v>
      </c>
      <c r="AZ295">
        <v>12</v>
      </c>
    </row>
    <row r="296" spans="1:52" x14ac:dyDescent="0.3">
      <c r="A296">
        <v>139</v>
      </c>
      <c r="B296" s="3">
        <v>172862000000</v>
      </c>
      <c r="C296" t="s">
        <v>715</v>
      </c>
      <c r="D296" t="str">
        <f>IF(ISNUMBER(SEARCH("High",C296)), "High School","")</f>
        <v>High School</v>
      </c>
      <c r="E296">
        <v>1728620</v>
      </c>
      <c r="F296" t="s">
        <v>716</v>
      </c>
      <c r="G296" s="1">
        <v>41159</v>
      </c>
      <c r="H296" t="s">
        <v>713</v>
      </c>
      <c r="I296">
        <v>2012</v>
      </c>
      <c r="J296" s="2">
        <v>0.33333333333333331</v>
      </c>
      <c r="K296" t="s">
        <v>95</v>
      </c>
      <c r="L296" t="s">
        <v>717</v>
      </c>
      <c r="M296" t="s">
        <v>129</v>
      </c>
      <c r="N296" s="4">
        <v>12671469</v>
      </c>
      <c r="O296" t="s">
        <v>56</v>
      </c>
      <c r="P296">
        <v>1895</v>
      </c>
      <c r="Q296">
        <v>0</v>
      </c>
      <c r="R296">
        <v>0</v>
      </c>
      <c r="S296">
        <v>0</v>
      </c>
      <c r="T296" t="s">
        <v>57</v>
      </c>
      <c r="U296">
        <v>14</v>
      </c>
      <c r="V296" t="s">
        <v>58</v>
      </c>
      <c r="W296" t="s">
        <v>59</v>
      </c>
      <c r="X296" t="s">
        <v>60</v>
      </c>
      <c r="Y296">
        <v>0</v>
      </c>
      <c r="AG296">
        <v>1314</v>
      </c>
      <c r="AH296">
        <v>196</v>
      </c>
      <c r="AI296">
        <v>145</v>
      </c>
      <c r="AJ296">
        <v>124</v>
      </c>
      <c r="AK296">
        <v>8</v>
      </c>
      <c r="AL296">
        <v>5</v>
      </c>
      <c r="AM296">
        <v>103</v>
      </c>
      <c r="AN296">
        <v>0</v>
      </c>
      <c r="AO296" t="s">
        <v>718</v>
      </c>
      <c r="AQ296">
        <v>40.533284999999999</v>
      </c>
      <c r="AR296">
        <v>-88.914485999999997</v>
      </c>
      <c r="AS296">
        <v>164</v>
      </c>
      <c r="AT296">
        <v>9</v>
      </c>
      <c r="AU296">
        <v>12</v>
      </c>
      <c r="AV296">
        <v>409</v>
      </c>
      <c r="AW296" t="s">
        <v>719</v>
      </c>
      <c r="AX296">
        <v>17</v>
      </c>
      <c r="AY296">
        <v>17113</v>
      </c>
      <c r="AZ296">
        <v>41</v>
      </c>
    </row>
    <row r="297" spans="1:52" x14ac:dyDescent="0.3">
      <c r="A297">
        <v>144</v>
      </c>
      <c r="B297">
        <v>1056711</v>
      </c>
      <c r="C297" t="s">
        <v>739</v>
      </c>
      <c r="D297" t="str">
        <f>IF(ISNUMBER(SEARCH("High",C297)), "High School","")</f>
        <v>High School</v>
      </c>
      <c r="G297" s="1">
        <v>41393</v>
      </c>
      <c r="H297" t="s">
        <v>713</v>
      </c>
      <c r="I297">
        <v>2013</v>
      </c>
      <c r="J297" s="2">
        <v>0.33333333333333331</v>
      </c>
      <c r="K297" t="s">
        <v>82</v>
      </c>
      <c r="L297" t="s">
        <v>509</v>
      </c>
      <c r="M297" t="s">
        <v>180</v>
      </c>
      <c r="N297" s="4">
        <v>11780017</v>
      </c>
      <c r="O297" t="s">
        <v>216</v>
      </c>
      <c r="P297">
        <v>708</v>
      </c>
      <c r="Q297">
        <v>0</v>
      </c>
      <c r="R297">
        <v>0</v>
      </c>
      <c r="S297">
        <v>0</v>
      </c>
      <c r="T297" t="s">
        <v>740</v>
      </c>
      <c r="U297">
        <v>17</v>
      </c>
      <c r="V297" t="s">
        <v>58</v>
      </c>
      <c r="X297" t="s">
        <v>60</v>
      </c>
      <c r="Y297">
        <v>0</v>
      </c>
      <c r="AG297">
        <v>613</v>
      </c>
      <c r="AH297">
        <v>71</v>
      </c>
      <c r="AI297">
        <v>4</v>
      </c>
      <c r="AJ297">
        <v>3</v>
      </c>
      <c r="AK297">
        <v>0</v>
      </c>
      <c r="AL297">
        <v>0</v>
      </c>
      <c r="AM297">
        <v>17</v>
      </c>
      <c r="AN297">
        <v>0</v>
      </c>
      <c r="AO297" t="s">
        <v>741</v>
      </c>
      <c r="AP297" t="s">
        <v>573</v>
      </c>
      <c r="AQ297">
        <v>39.189162000000003</v>
      </c>
      <c r="AR297">
        <v>-84.586703999999997</v>
      </c>
      <c r="AS297">
        <v>40.1</v>
      </c>
      <c r="AT297">
        <v>9</v>
      </c>
      <c r="AU297">
        <v>12</v>
      </c>
      <c r="AW297" t="s">
        <v>183</v>
      </c>
      <c r="AX297">
        <v>39</v>
      </c>
      <c r="AY297">
        <v>39061</v>
      </c>
      <c r="AZ297">
        <v>21</v>
      </c>
    </row>
    <row r="298" spans="1:52" x14ac:dyDescent="0.3">
      <c r="A298">
        <v>146</v>
      </c>
      <c r="B298" s="3">
        <v>130174000000</v>
      </c>
      <c r="C298" t="s">
        <v>747</v>
      </c>
      <c r="D298" t="s">
        <v>1542</v>
      </c>
      <c r="E298">
        <v>1301740</v>
      </c>
      <c r="F298" t="s">
        <v>748</v>
      </c>
      <c r="G298" s="1">
        <v>41506</v>
      </c>
      <c r="H298" t="s">
        <v>749</v>
      </c>
      <c r="I298">
        <v>2013</v>
      </c>
      <c r="J298" s="2">
        <v>0.53541666666666665</v>
      </c>
      <c r="K298" t="s">
        <v>53</v>
      </c>
      <c r="L298" t="s">
        <v>750</v>
      </c>
      <c r="M298" t="s">
        <v>77</v>
      </c>
      <c r="N298" s="4">
        <v>10799566</v>
      </c>
      <c r="O298" t="s">
        <v>56</v>
      </c>
      <c r="P298">
        <v>822</v>
      </c>
      <c r="Q298">
        <v>0</v>
      </c>
      <c r="R298">
        <v>0</v>
      </c>
      <c r="S298">
        <v>0</v>
      </c>
      <c r="T298" t="s">
        <v>220</v>
      </c>
      <c r="U298">
        <v>20</v>
      </c>
      <c r="V298" t="s">
        <v>58</v>
      </c>
      <c r="W298" t="s">
        <v>59</v>
      </c>
      <c r="X298" t="s">
        <v>751</v>
      </c>
      <c r="Y298">
        <v>0</v>
      </c>
      <c r="AG298">
        <v>9</v>
      </c>
      <c r="AH298">
        <v>786</v>
      </c>
      <c r="AI298">
        <v>23</v>
      </c>
      <c r="AJ298">
        <v>0</v>
      </c>
      <c r="AK298">
        <v>0</v>
      </c>
      <c r="AL298">
        <v>0</v>
      </c>
      <c r="AM298">
        <v>4</v>
      </c>
      <c r="AN298">
        <v>0</v>
      </c>
      <c r="AO298" t="s">
        <v>752</v>
      </c>
      <c r="AP298" t="s">
        <v>753</v>
      </c>
      <c r="AQ298">
        <v>33.7273</v>
      </c>
      <c r="AR298">
        <v>-84.306799999999996</v>
      </c>
      <c r="AS298">
        <v>47.8</v>
      </c>
      <c r="AT298" t="s">
        <v>130</v>
      </c>
      <c r="AU298">
        <v>5</v>
      </c>
      <c r="AV298">
        <v>810</v>
      </c>
      <c r="AW298" t="s">
        <v>748</v>
      </c>
      <c r="AX298">
        <v>13</v>
      </c>
      <c r="AY298">
        <v>13089</v>
      </c>
      <c r="AZ298">
        <v>21</v>
      </c>
    </row>
    <row r="299" spans="1:52" x14ac:dyDescent="0.3">
      <c r="A299">
        <v>149</v>
      </c>
      <c r="B299" s="3">
        <v>480894000000</v>
      </c>
      <c r="C299" t="s">
        <v>762</v>
      </c>
      <c r="D299" t="str">
        <f>IF(ISNUMBER(SEARCH("High",C299)), "High School","")</f>
        <v>High School</v>
      </c>
      <c r="E299">
        <v>4808940</v>
      </c>
      <c r="F299" t="s">
        <v>763</v>
      </c>
      <c r="G299" s="1">
        <v>41562</v>
      </c>
      <c r="H299" t="s">
        <v>749</v>
      </c>
      <c r="I299">
        <v>2013</v>
      </c>
      <c r="J299" s="2">
        <v>0.50277777777777777</v>
      </c>
      <c r="K299" t="s">
        <v>53</v>
      </c>
      <c r="L299" t="s">
        <v>764</v>
      </c>
      <c r="M299" t="s">
        <v>205</v>
      </c>
      <c r="N299" s="4">
        <v>29527941</v>
      </c>
      <c r="O299" t="s">
        <v>56</v>
      </c>
      <c r="P299">
        <v>1554</v>
      </c>
      <c r="Q299">
        <v>0</v>
      </c>
      <c r="R299">
        <v>0</v>
      </c>
      <c r="S299">
        <v>0</v>
      </c>
      <c r="T299" t="s">
        <v>740</v>
      </c>
      <c r="U299">
        <v>16</v>
      </c>
      <c r="V299" t="s">
        <v>58</v>
      </c>
      <c r="W299" t="s">
        <v>99</v>
      </c>
      <c r="X299" t="s">
        <v>60</v>
      </c>
      <c r="Y299">
        <v>1</v>
      </c>
      <c r="Z299" t="s">
        <v>61</v>
      </c>
      <c r="AG299">
        <v>61</v>
      </c>
      <c r="AH299">
        <v>138</v>
      </c>
      <c r="AI299">
        <v>1273</v>
      </c>
      <c r="AJ299">
        <v>51</v>
      </c>
      <c r="AK299">
        <v>15</v>
      </c>
      <c r="AL299">
        <v>0</v>
      </c>
      <c r="AM299">
        <v>16</v>
      </c>
      <c r="AN299">
        <v>1</v>
      </c>
      <c r="AO299" t="s">
        <v>136</v>
      </c>
      <c r="AQ299">
        <v>30.360600000000002</v>
      </c>
      <c r="AR299">
        <v>-97.707999999999998</v>
      </c>
      <c r="AS299">
        <v>108.34</v>
      </c>
      <c r="AT299">
        <v>9</v>
      </c>
      <c r="AU299">
        <v>12</v>
      </c>
      <c r="AV299">
        <v>613</v>
      </c>
      <c r="AW299" t="s">
        <v>765</v>
      </c>
      <c r="AX299">
        <v>48</v>
      </c>
      <c r="AY299">
        <v>48453</v>
      </c>
      <c r="AZ299">
        <v>11</v>
      </c>
    </row>
    <row r="300" spans="1:52" x14ac:dyDescent="0.3">
      <c r="A300">
        <v>156</v>
      </c>
      <c r="B300" s="3">
        <v>421314000000</v>
      </c>
      <c r="C300" t="s">
        <v>789</v>
      </c>
      <c r="D300" t="str">
        <f>IF(ISNUMBER(SEARCH("Elementary",C300)), "Elementary School","")</f>
        <v>Elementary School</v>
      </c>
      <c r="E300">
        <v>4213140</v>
      </c>
      <c r="F300" t="s">
        <v>790</v>
      </c>
      <c r="G300" s="1">
        <v>41654</v>
      </c>
      <c r="H300" t="s">
        <v>749</v>
      </c>
      <c r="I300">
        <v>2014</v>
      </c>
      <c r="J300" s="2">
        <v>0.6166666666666667</v>
      </c>
      <c r="K300" t="s">
        <v>90</v>
      </c>
      <c r="L300" t="s">
        <v>791</v>
      </c>
      <c r="M300" t="s">
        <v>84</v>
      </c>
      <c r="N300" s="4">
        <v>12964056</v>
      </c>
      <c r="O300" t="s">
        <v>56</v>
      </c>
      <c r="P300">
        <v>540</v>
      </c>
      <c r="Q300">
        <v>0</v>
      </c>
      <c r="R300">
        <v>0</v>
      </c>
      <c r="S300">
        <v>0</v>
      </c>
      <c r="T300" t="s">
        <v>792</v>
      </c>
      <c r="Y300">
        <v>0</v>
      </c>
      <c r="AG300">
        <v>20</v>
      </c>
      <c r="AH300">
        <v>69</v>
      </c>
      <c r="AI300">
        <v>425</v>
      </c>
      <c r="AJ300">
        <v>7</v>
      </c>
      <c r="AK300">
        <v>0</v>
      </c>
      <c r="AL300">
        <v>0</v>
      </c>
      <c r="AM300">
        <v>19</v>
      </c>
      <c r="AN300">
        <v>1</v>
      </c>
      <c r="AO300" t="s">
        <v>136</v>
      </c>
      <c r="AQ300">
        <v>40.034399999999998</v>
      </c>
      <c r="AR300">
        <v>-76.299800000000005</v>
      </c>
      <c r="AS300">
        <v>40.200000000000003</v>
      </c>
      <c r="AT300" t="s">
        <v>130</v>
      </c>
      <c r="AU300">
        <v>5</v>
      </c>
      <c r="AV300">
        <v>498</v>
      </c>
      <c r="AW300" t="s">
        <v>496</v>
      </c>
      <c r="AX300">
        <v>42</v>
      </c>
      <c r="AY300">
        <v>42071</v>
      </c>
      <c r="AZ300">
        <v>13</v>
      </c>
    </row>
    <row r="301" spans="1:52" x14ac:dyDescent="0.3">
      <c r="A301">
        <v>160</v>
      </c>
      <c r="B301" s="3">
        <v>410198000000</v>
      </c>
      <c r="C301" t="s">
        <v>804</v>
      </c>
      <c r="D301" t="str">
        <f>IF(ISNUMBER(SEARCH("High",C301)), "High School","")</f>
        <v>High School</v>
      </c>
      <c r="E301">
        <v>4101980</v>
      </c>
      <c r="F301" t="s">
        <v>805</v>
      </c>
      <c r="G301" s="1">
        <v>41677</v>
      </c>
      <c r="H301" t="s">
        <v>749</v>
      </c>
      <c r="I301">
        <v>2014</v>
      </c>
      <c r="J301" s="2">
        <v>0.5</v>
      </c>
      <c r="K301" t="s">
        <v>95</v>
      </c>
      <c r="L301" t="s">
        <v>806</v>
      </c>
      <c r="M301" t="s">
        <v>459</v>
      </c>
      <c r="N301" s="4">
        <v>4246155</v>
      </c>
      <c r="O301" t="s">
        <v>56</v>
      </c>
      <c r="P301">
        <v>1642</v>
      </c>
      <c r="Q301">
        <v>0</v>
      </c>
      <c r="R301">
        <v>0</v>
      </c>
      <c r="S301">
        <v>0</v>
      </c>
      <c r="T301" t="s">
        <v>740</v>
      </c>
      <c r="U301">
        <v>17</v>
      </c>
      <c r="V301" t="s">
        <v>58</v>
      </c>
      <c r="X301" t="s">
        <v>60</v>
      </c>
      <c r="Y301">
        <v>1</v>
      </c>
      <c r="Z301" t="s">
        <v>61</v>
      </c>
      <c r="AG301">
        <v>1368</v>
      </c>
      <c r="AH301">
        <v>21</v>
      </c>
      <c r="AI301">
        <v>180</v>
      </c>
      <c r="AJ301">
        <v>25</v>
      </c>
      <c r="AK301">
        <v>23</v>
      </c>
      <c r="AL301">
        <v>4</v>
      </c>
      <c r="AM301">
        <v>21</v>
      </c>
      <c r="AN301">
        <v>0</v>
      </c>
      <c r="AO301" t="s">
        <v>620</v>
      </c>
      <c r="AP301" t="s">
        <v>807</v>
      </c>
      <c r="AQ301">
        <v>44.052300000000002</v>
      </c>
      <c r="AR301">
        <v>-121.2959</v>
      </c>
      <c r="AS301">
        <v>62.77</v>
      </c>
      <c r="AT301">
        <v>9</v>
      </c>
      <c r="AU301">
        <v>12</v>
      </c>
      <c r="AV301">
        <v>1368</v>
      </c>
      <c r="AW301" t="s">
        <v>808</v>
      </c>
      <c r="AX301">
        <v>41</v>
      </c>
      <c r="AY301">
        <v>41017</v>
      </c>
      <c r="AZ301">
        <v>13</v>
      </c>
    </row>
    <row r="302" spans="1:52" x14ac:dyDescent="0.3">
      <c r="A302">
        <v>163</v>
      </c>
      <c r="B302" s="3">
        <v>130228000000</v>
      </c>
      <c r="C302" t="s">
        <v>820</v>
      </c>
      <c r="D302" t="str">
        <f>IF(ISNUMBER(SEARCH("High",C302)), "High School","")</f>
        <v>High School</v>
      </c>
      <c r="E302">
        <v>1302280</v>
      </c>
      <c r="F302" t="s">
        <v>738</v>
      </c>
      <c r="G302" s="1">
        <v>41723</v>
      </c>
      <c r="H302" t="s">
        <v>749</v>
      </c>
      <c r="I302">
        <v>2014</v>
      </c>
      <c r="J302" s="2">
        <v>0.54166666666666663</v>
      </c>
      <c r="K302" t="s">
        <v>53</v>
      </c>
      <c r="L302" t="s">
        <v>821</v>
      </c>
      <c r="M302" t="s">
        <v>77</v>
      </c>
      <c r="N302" s="4">
        <v>10799566</v>
      </c>
      <c r="O302" t="s">
        <v>56</v>
      </c>
      <c r="P302">
        <v>1537</v>
      </c>
      <c r="Q302">
        <v>0</v>
      </c>
      <c r="R302">
        <v>0</v>
      </c>
      <c r="S302">
        <v>0</v>
      </c>
      <c r="T302" t="s">
        <v>70</v>
      </c>
      <c r="Y302">
        <v>0</v>
      </c>
      <c r="AG302">
        <v>3</v>
      </c>
      <c r="AH302">
        <v>1483</v>
      </c>
      <c r="AI302">
        <v>41</v>
      </c>
      <c r="AJ302">
        <v>2</v>
      </c>
      <c r="AK302">
        <v>1</v>
      </c>
      <c r="AL302">
        <v>0</v>
      </c>
      <c r="AM302">
        <v>7</v>
      </c>
      <c r="AN302">
        <v>1</v>
      </c>
      <c r="AQ302">
        <v>33.593000000000004</v>
      </c>
      <c r="AR302">
        <v>-84.517600000000002</v>
      </c>
      <c r="AS302">
        <v>100.7</v>
      </c>
      <c r="AT302">
        <v>9</v>
      </c>
      <c r="AU302">
        <v>12</v>
      </c>
      <c r="AV302">
        <v>1376</v>
      </c>
      <c r="AW302" t="s">
        <v>738</v>
      </c>
      <c r="AX302">
        <v>13</v>
      </c>
      <c r="AY302">
        <v>13121</v>
      </c>
      <c r="AZ302">
        <v>21</v>
      </c>
    </row>
    <row r="303" spans="1:52" x14ac:dyDescent="0.3">
      <c r="A303">
        <v>164</v>
      </c>
      <c r="B303" s="3">
        <v>370001000000</v>
      </c>
      <c r="C303" t="s">
        <v>822</v>
      </c>
      <c r="D303" t="str">
        <f>IF(ISNUMBER(SEARCH("High",C303)), "High School","")</f>
        <v>High School</v>
      </c>
      <c r="E303">
        <v>3700012</v>
      </c>
      <c r="F303" t="s">
        <v>823</v>
      </c>
      <c r="G303" s="1">
        <v>41738</v>
      </c>
      <c r="H303" t="s">
        <v>749</v>
      </c>
      <c r="I303">
        <v>2014</v>
      </c>
      <c r="J303" s="2">
        <v>0.5625</v>
      </c>
      <c r="K303" t="s">
        <v>90</v>
      </c>
      <c r="L303" t="s">
        <v>824</v>
      </c>
      <c r="M303" t="s">
        <v>326</v>
      </c>
      <c r="N303" s="4">
        <v>10551162</v>
      </c>
      <c r="O303" t="s">
        <v>56</v>
      </c>
      <c r="P303">
        <v>1591</v>
      </c>
      <c r="Q303">
        <v>0</v>
      </c>
      <c r="R303">
        <v>0</v>
      </c>
      <c r="S303">
        <v>0</v>
      </c>
      <c r="T303" t="s">
        <v>57</v>
      </c>
      <c r="U303">
        <v>17</v>
      </c>
      <c r="V303" t="s">
        <v>58</v>
      </c>
      <c r="W303" t="s">
        <v>146</v>
      </c>
      <c r="X303" t="s">
        <v>825</v>
      </c>
      <c r="Y303">
        <v>0</v>
      </c>
      <c r="AA303">
        <v>17</v>
      </c>
      <c r="AB303" t="s">
        <v>58</v>
      </c>
      <c r="AC303" t="s">
        <v>59</v>
      </c>
      <c r="AD303" t="s">
        <v>825</v>
      </c>
      <c r="AE303">
        <v>0</v>
      </c>
      <c r="AG303">
        <v>973</v>
      </c>
      <c r="AH303">
        <v>395</v>
      </c>
      <c r="AI303">
        <v>138</v>
      </c>
      <c r="AJ303">
        <v>27</v>
      </c>
      <c r="AK303">
        <v>5</v>
      </c>
      <c r="AL303">
        <v>0</v>
      </c>
      <c r="AM303">
        <v>53</v>
      </c>
      <c r="AN303">
        <v>0</v>
      </c>
      <c r="AO303" t="s">
        <v>558</v>
      </c>
      <c r="AQ303">
        <v>35.5306</v>
      </c>
      <c r="AR303">
        <v>-77.324799999999996</v>
      </c>
      <c r="AS303">
        <v>87.89</v>
      </c>
      <c r="AT303">
        <v>9</v>
      </c>
      <c r="AU303">
        <v>12</v>
      </c>
      <c r="AV303">
        <v>528</v>
      </c>
      <c r="AW303" t="s">
        <v>826</v>
      </c>
      <c r="AX303">
        <v>37</v>
      </c>
      <c r="AY303">
        <v>37147</v>
      </c>
      <c r="AZ303">
        <v>41</v>
      </c>
    </row>
    <row r="304" spans="1:52" x14ac:dyDescent="0.3">
      <c r="A304">
        <v>170</v>
      </c>
      <c r="B304" t="s">
        <v>847</v>
      </c>
      <c r="C304" t="s">
        <v>848</v>
      </c>
      <c r="D304" t="s">
        <v>1542</v>
      </c>
      <c r="G304" s="1">
        <v>42030</v>
      </c>
      <c r="H304" t="s">
        <v>833</v>
      </c>
      <c r="I304">
        <v>2015</v>
      </c>
      <c r="J304" s="2">
        <v>0.62986111111111109</v>
      </c>
      <c r="K304" t="s">
        <v>82</v>
      </c>
      <c r="L304" t="s">
        <v>849</v>
      </c>
      <c r="M304" t="s">
        <v>321</v>
      </c>
      <c r="N304" s="4">
        <v>5707390</v>
      </c>
      <c r="O304" t="s">
        <v>216</v>
      </c>
      <c r="P304">
        <v>288</v>
      </c>
      <c r="Q304">
        <v>0</v>
      </c>
      <c r="R304">
        <v>0</v>
      </c>
      <c r="S304">
        <v>0</v>
      </c>
      <c r="T304" t="s">
        <v>57</v>
      </c>
      <c r="U304">
        <v>48</v>
      </c>
      <c r="V304" t="s">
        <v>58</v>
      </c>
      <c r="Y304">
        <v>1</v>
      </c>
      <c r="Z304" t="s">
        <v>61</v>
      </c>
      <c r="AG304">
        <v>178</v>
      </c>
      <c r="AH304">
        <v>5</v>
      </c>
      <c r="AI304">
        <v>3</v>
      </c>
      <c r="AJ304">
        <v>12</v>
      </c>
      <c r="AK304">
        <v>0</v>
      </c>
      <c r="AL304">
        <v>0</v>
      </c>
      <c r="AM304">
        <v>0</v>
      </c>
      <c r="AN304">
        <v>0</v>
      </c>
      <c r="AQ304">
        <v>45.004708999999998</v>
      </c>
      <c r="AR304">
        <v>-93.177024000000003</v>
      </c>
      <c r="AS304">
        <v>21.4</v>
      </c>
      <c r="AT304" t="s">
        <v>130</v>
      </c>
      <c r="AU304">
        <v>8</v>
      </c>
      <c r="AW304" t="s">
        <v>850</v>
      </c>
      <c r="AX304">
        <v>27</v>
      </c>
      <c r="AY304">
        <v>27123</v>
      </c>
      <c r="AZ304">
        <v>21</v>
      </c>
    </row>
    <row r="305" spans="1:52" x14ac:dyDescent="0.3">
      <c r="A305">
        <v>171</v>
      </c>
      <c r="B305" s="3">
        <v>530585000000</v>
      </c>
      <c r="C305" t="s">
        <v>851</v>
      </c>
      <c r="D305" t="str">
        <f>IF(ISNUMBER(SEARCH("High",C305)), "High School","")</f>
        <v>High School</v>
      </c>
      <c r="E305">
        <v>5305850</v>
      </c>
      <c r="F305" t="s">
        <v>852</v>
      </c>
      <c r="G305" s="1">
        <v>42121</v>
      </c>
      <c r="H305" t="s">
        <v>833</v>
      </c>
      <c r="I305">
        <v>2015</v>
      </c>
      <c r="J305" s="2">
        <v>0.30902777777777779</v>
      </c>
      <c r="K305" t="s">
        <v>82</v>
      </c>
      <c r="L305" t="s">
        <v>853</v>
      </c>
      <c r="M305" t="s">
        <v>171</v>
      </c>
      <c r="N305" s="4">
        <v>7738692</v>
      </c>
      <c r="O305" t="s">
        <v>56</v>
      </c>
      <c r="P305">
        <v>1477</v>
      </c>
      <c r="Q305">
        <v>0</v>
      </c>
      <c r="R305">
        <v>0</v>
      </c>
      <c r="S305">
        <v>0</v>
      </c>
      <c r="T305" t="s">
        <v>57</v>
      </c>
      <c r="U305">
        <v>16</v>
      </c>
      <c r="V305" t="s">
        <v>58</v>
      </c>
      <c r="X305" t="s">
        <v>60</v>
      </c>
      <c r="Y305">
        <v>0</v>
      </c>
      <c r="AG305">
        <v>842</v>
      </c>
      <c r="AH305">
        <v>73</v>
      </c>
      <c r="AI305">
        <v>237</v>
      </c>
      <c r="AJ305">
        <v>165</v>
      </c>
      <c r="AK305">
        <v>22</v>
      </c>
      <c r="AL305">
        <v>22</v>
      </c>
      <c r="AM305">
        <v>116</v>
      </c>
      <c r="AN305">
        <v>1</v>
      </c>
      <c r="AO305" t="s">
        <v>854</v>
      </c>
      <c r="AP305" t="s">
        <v>108</v>
      </c>
      <c r="AQ305">
        <v>47.051955999999997</v>
      </c>
      <c r="AR305">
        <v>-122.83241</v>
      </c>
      <c r="AS305">
        <v>70.400000000000006</v>
      </c>
      <c r="AT305">
        <v>9</v>
      </c>
      <c r="AU305">
        <v>12</v>
      </c>
      <c r="AV305">
        <v>546</v>
      </c>
      <c r="AW305" t="s">
        <v>855</v>
      </c>
      <c r="AX305">
        <v>53</v>
      </c>
      <c r="AY305">
        <v>53067</v>
      </c>
      <c r="AZ305">
        <v>22</v>
      </c>
    </row>
    <row r="306" spans="1:52" x14ac:dyDescent="0.3">
      <c r="A306">
        <v>174</v>
      </c>
      <c r="B306" s="3">
        <v>482499000000</v>
      </c>
      <c r="C306" t="s">
        <v>867</v>
      </c>
      <c r="D306" t="str">
        <f>IF(ISNUMBER(SEARCH("High",C306)), "High School","")</f>
        <v>High School</v>
      </c>
      <c r="E306">
        <v>4824990</v>
      </c>
      <c r="F306" t="s">
        <v>868</v>
      </c>
      <c r="G306" s="1">
        <v>42292</v>
      </c>
      <c r="H306" t="s">
        <v>858</v>
      </c>
      <c r="I306">
        <v>2015</v>
      </c>
      <c r="J306" s="2">
        <v>0.38541666666666669</v>
      </c>
      <c r="K306" t="s">
        <v>67</v>
      </c>
      <c r="L306" t="s">
        <v>869</v>
      </c>
      <c r="M306" t="s">
        <v>205</v>
      </c>
      <c r="N306" s="4">
        <v>29527941</v>
      </c>
      <c r="O306" t="s">
        <v>56</v>
      </c>
      <c r="P306">
        <v>2260</v>
      </c>
      <c r="Q306">
        <v>0</v>
      </c>
      <c r="R306">
        <v>0</v>
      </c>
      <c r="S306">
        <v>0</v>
      </c>
      <c r="T306" t="s">
        <v>70</v>
      </c>
      <c r="U306">
        <v>22</v>
      </c>
      <c r="V306" t="s">
        <v>152</v>
      </c>
      <c r="W306" t="s">
        <v>146</v>
      </c>
      <c r="X306" t="s">
        <v>870</v>
      </c>
      <c r="Y306">
        <v>0</v>
      </c>
      <c r="AG306">
        <v>203</v>
      </c>
      <c r="AH306">
        <v>678</v>
      </c>
      <c r="AI306">
        <v>1299</v>
      </c>
      <c r="AJ306">
        <v>38</v>
      </c>
      <c r="AK306">
        <v>5</v>
      </c>
      <c r="AL306">
        <v>3</v>
      </c>
      <c r="AM306">
        <v>34</v>
      </c>
      <c r="AN306">
        <v>1</v>
      </c>
      <c r="AQ306">
        <v>29.457380000000001</v>
      </c>
      <c r="AR306">
        <v>-98.357799999999997</v>
      </c>
      <c r="AS306">
        <v>145.69999999999999</v>
      </c>
      <c r="AT306">
        <v>9</v>
      </c>
      <c r="AU306">
        <v>12</v>
      </c>
      <c r="AV306">
        <v>1620</v>
      </c>
      <c r="AW306" t="s">
        <v>871</v>
      </c>
      <c r="AX306">
        <v>48</v>
      </c>
      <c r="AY306">
        <v>48029</v>
      </c>
      <c r="AZ306">
        <v>21</v>
      </c>
    </row>
    <row r="307" spans="1:52" x14ac:dyDescent="0.3">
      <c r="A307">
        <v>175</v>
      </c>
      <c r="B307" s="3">
        <v>130138000000</v>
      </c>
      <c r="C307" t="s">
        <v>872</v>
      </c>
      <c r="D307" t="s">
        <v>1542</v>
      </c>
      <c r="E307">
        <v>1301380</v>
      </c>
      <c r="F307" t="s">
        <v>873</v>
      </c>
      <c r="G307" s="1">
        <v>42313</v>
      </c>
      <c r="H307" t="s">
        <v>858</v>
      </c>
      <c r="I307">
        <v>2015</v>
      </c>
      <c r="K307" t="s">
        <v>67</v>
      </c>
      <c r="L307" t="s">
        <v>874</v>
      </c>
      <c r="M307" t="s">
        <v>77</v>
      </c>
      <c r="N307" s="4">
        <v>10799566</v>
      </c>
      <c r="O307" t="s">
        <v>56</v>
      </c>
      <c r="P307">
        <v>40</v>
      </c>
      <c r="Q307">
        <v>0</v>
      </c>
      <c r="R307">
        <v>0</v>
      </c>
      <c r="S307">
        <v>0</v>
      </c>
      <c r="T307" t="s">
        <v>70</v>
      </c>
      <c r="V307" t="s">
        <v>58</v>
      </c>
      <c r="X307" t="s">
        <v>60</v>
      </c>
      <c r="Y307">
        <v>0</v>
      </c>
      <c r="AN307">
        <v>1</v>
      </c>
      <c r="AO307" t="s">
        <v>875</v>
      </c>
      <c r="AP307" t="s">
        <v>362</v>
      </c>
      <c r="AQ307">
        <v>31.175943</v>
      </c>
      <c r="AR307">
        <v>-83.804367999999997</v>
      </c>
      <c r="AW307" t="s">
        <v>873</v>
      </c>
      <c r="AX307">
        <v>13</v>
      </c>
      <c r="AY307">
        <v>13071</v>
      </c>
      <c r="AZ307">
        <v>41</v>
      </c>
    </row>
    <row r="308" spans="1:52" x14ac:dyDescent="0.3">
      <c r="A308">
        <v>176</v>
      </c>
      <c r="B308" s="3">
        <v>120027000000</v>
      </c>
      <c r="C308" t="s">
        <v>876</v>
      </c>
      <c r="D308" t="str">
        <f>IF(ISNUMBER(SEARCH("High",C308)), "High School","")</f>
        <v>High School</v>
      </c>
      <c r="E308">
        <v>1200270</v>
      </c>
      <c r="F308" t="s">
        <v>877</v>
      </c>
      <c r="G308" s="1">
        <v>42318</v>
      </c>
      <c r="H308" t="s">
        <v>858</v>
      </c>
      <c r="I308">
        <v>2015</v>
      </c>
      <c r="J308" s="2">
        <v>0.4375</v>
      </c>
      <c r="K308" t="s">
        <v>53</v>
      </c>
      <c r="L308" t="s">
        <v>878</v>
      </c>
      <c r="M308" t="s">
        <v>113</v>
      </c>
      <c r="N308" s="4">
        <v>21781128</v>
      </c>
      <c r="O308" t="s">
        <v>56</v>
      </c>
      <c r="P308">
        <v>1567</v>
      </c>
      <c r="Q308">
        <v>0</v>
      </c>
      <c r="R308">
        <v>0</v>
      </c>
      <c r="S308">
        <v>0</v>
      </c>
      <c r="T308" t="s">
        <v>740</v>
      </c>
      <c r="U308">
        <v>15</v>
      </c>
      <c r="V308" t="s">
        <v>58</v>
      </c>
      <c r="X308" t="s">
        <v>60</v>
      </c>
      <c r="Y308">
        <v>0</v>
      </c>
      <c r="AG308">
        <v>1243</v>
      </c>
      <c r="AH308">
        <v>72</v>
      </c>
      <c r="AI308">
        <v>132</v>
      </c>
      <c r="AJ308">
        <v>59</v>
      </c>
      <c r="AK308">
        <v>12</v>
      </c>
      <c r="AL308">
        <v>1</v>
      </c>
      <c r="AM308">
        <v>48</v>
      </c>
      <c r="AN308">
        <v>1</v>
      </c>
      <c r="AO308" t="s">
        <v>879</v>
      </c>
      <c r="AQ308">
        <v>28.824494000000001</v>
      </c>
      <c r="AR308">
        <v>-82.499153000000007</v>
      </c>
      <c r="AS308">
        <v>84</v>
      </c>
      <c r="AT308">
        <v>9</v>
      </c>
      <c r="AU308">
        <v>12</v>
      </c>
      <c r="AV308">
        <v>839</v>
      </c>
      <c r="AW308" t="s">
        <v>880</v>
      </c>
      <c r="AX308">
        <v>12</v>
      </c>
      <c r="AY308">
        <v>12017</v>
      </c>
      <c r="AZ308">
        <v>41</v>
      </c>
    </row>
    <row r="309" spans="1:52" x14ac:dyDescent="0.3">
      <c r="A309">
        <v>178</v>
      </c>
      <c r="B309" s="3">
        <v>421899000000</v>
      </c>
      <c r="C309" t="s">
        <v>886</v>
      </c>
      <c r="D309" t="str">
        <f>IF(ISNUMBER(SEARCH("High",C309)), "High School","")</f>
        <v>High School</v>
      </c>
      <c r="E309">
        <v>4218990</v>
      </c>
      <c r="F309" t="s">
        <v>80</v>
      </c>
      <c r="G309" s="1">
        <v>42398</v>
      </c>
      <c r="H309" t="s">
        <v>858</v>
      </c>
      <c r="I309">
        <v>2016</v>
      </c>
      <c r="J309" s="2">
        <v>0.5</v>
      </c>
      <c r="K309" t="s">
        <v>95</v>
      </c>
      <c r="L309" t="s">
        <v>83</v>
      </c>
      <c r="M309" t="s">
        <v>84</v>
      </c>
      <c r="N309" s="4">
        <v>12964056</v>
      </c>
      <c r="O309" t="s">
        <v>56</v>
      </c>
      <c r="P309">
        <v>612</v>
      </c>
      <c r="Q309">
        <v>0</v>
      </c>
      <c r="R309">
        <v>0</v>
      </c>
      <c r="S309">
        <v>0</v>
      </c>
      <c r="T309" t="s">
        <v>70</v>
      </c>
      <c r="U309">
        <v>16</v>
      </c>
      <c r="V309" t="s">
        <v>58</v>
      </c>
      <c r="Y309">
        <v>0</v>
      </c>
      <c r="AG309">
        <v>9</v>
      </c>
      <c r="AH309">
        <v>516</v>
      </c>
      <c r="AI309">
        <v>46</v>
      </c>
      <c r="AJ309">
        <v>31</v>
      </c>
      <c r="AK309">
        <v>1</v>
      </c>
      <c r="AL309">
        <v>0</v>
      </c>
      <c r="AM309">
        <v>9</v>
      </c>
      <c r="AN309">
        <v>0</v>
      </c>
      <c r="AO309" t="s">
        <v>558</v>
      </c>
      <c r="AQ309">
        <v>39.96367</v>
      </c>
      <c r="AR309">
        <v>-75.162000000000006</v>
      </c>
      <c r="AS309">
        <v>44.42</v>
      </c>
      <c r="AT309">
        <v>9</v>
      </c>
      <c r="AU309">
        <v>12</v>
      </c>
      <c r="AV309">
        <v>612</v>
      </c>
      <c r="AW309" t="s">
        <v>87</v>
      </c>
      <c r="AX309">
        <v>42</v>
      </c>
      <c r="AY309">
        <v>42101</v>
      </c>
      <c r="AZ309">
        <v>11</v>
      </c>
    </row>
    <row r="310" spans="1:52" x14ac:dyDescent="0.3">
      <c r="A310">
        <v>189</v>
      </c>
      <c r="B310" s="3">
        <v>490021000000</v>
      </c>
      <c r="C310" t="s">
        <v>935</v>
      </c>
      <c r="D310" t="str">
        <f>IF(ISNUMBER(SEARCH("High",C310)), "High School","")</f>
        <v>High School</v>
      </c>
      <c r="E310">
        <v>4900210</v>
      </c>
      <c r="F310" t="s">
        <v>936</v>
      </c>
      <c r="G310" s="1">
        <v>42705</v>
      </c>
      <c r="H310" t="s">
        <v>905</v>
      </c>
      <c r="I310">
        <v>2016</v>
      </c>
      <c r="J310" s="2">
        <v>0.34236111111111112</v>
      </c>
      <c r="K310" t="s">
        <v>67</v>
      </c>
      <c r="L310" t="s">
        <v>937</v>
      </c>
      <c r="M310" t="s">
        <v>928</v>
      </c>
      <c r="N310" s="4">
        <v>3337975</v>
      </c>
      <c r="O310" t="s">
        <v>56</v>
      </c>
      <c r="P310">
        <v>813</v>
      </c>
      <c r="Q310">
        <v>0</v>
      </c>
      <c r="R310">
        <v>0</v>
      </c>
      <c r="S310">
        <v>0</v>
      </c>
      <c r="T310" t="s">
        <v>57</v>
      </c>
      <c r="U310">
        <v>15</v>
      </c>
      <c r="V310" t="s">
        <v>58</v>
      </c>
      <c r="W310" t="s">
        <v>59</v>
      </c>
      <c r="X310" t="s">
        <v>60</v>
      </c>
      <c r="Y310">
        <v>0</v>
      </c>
      <c r="AG310">
        <v>661</v>
      </c>
      <c r="AH310">
        <v>14</v>
      </c>
      <c r="AI310">
        <v>78</v>
      </c>
      <c r="AJ310">
        <v>17</v>
      </c>
      <c r="AK310">
        <v>2</v>
      </c>
      <c r="AL310">
        <v>19</v>
      </c>
      <c r="AM310">
        <v>22</v>
      </c>
      <c r="AN310">
        <v>1</v>
      </c>
      <c r="AO310" t="s">
        <v>731</v>
      </c>
      <c r="AP310" t="s">
        <v>501</v>
      </c>
      <c r="AQ310">
        <v>40.872489000000002</v>
      </c>
      <c r="AR310">
        <v>-111.861172</v>
      </c>
      <c r="AT310">
        <v>7</v>
      </c>
      <c r="AU310">
        <v>9</v>
      </c>
      <c r="AV310">
        <v>145</v>
      </c>
      <c r="AW310" t="s">
        <v>938</v>
      </c>
      <c r="AX310">
        <v>49</v>
      </c>
      <c r="AY310">
        <v>49011</v>
      </c>
      <c r="AZ310">
        <v>21</v>
      </c>
    </row>
    <row r="311" spans="1:52" x14ac:dyDescent="0.3">
      <c r="A311">
        <v>191</v>
      </c>
      <c r="B311" s="3">
        <v>220054000000</v>
      </c>
      <c r="C311" t="s">
        <v>945</v>
      </c>
      <c r="D311" t="str">
        <f>IF(ISNUMBER(SEARCH("High",C311)), "High School","")</f>
        <v>High School</v>
      </c>
      <c r="E311">
        <v>2200540</v>
      </c>
      <c r="F311" t="s">
        <v>73</v>
      </c>
      <c r="G311" s="1">
        <v>42772</v>
      </c>
      <c r="H311" t="s">
        <v>905</v>
      </c>
      <c r="I311">
        <v>2017</v>
      </c>
      <c r="J311" s="2">
        <v>0.5</v>
      </c>
      <c r="K311" t="s">
        <v>82</v>
      </c>
      <c r="L311" t="s">
        <v>68</v>
      </c>
      <c r="M311" t="s">
        <v>69</v>
      </c>
      <c r="N311" s="4">
        <v>4624047</v>
      </c>
      <c r="O311" t="s">
        <v>56</v>
      </c>
      <c r="P311">
        <v>1388</v>
      </c>
      <c r="Q311">
        <v>0</v>
      </c>
      <c r="R311">
        <v>0</v>
      </c>
      <c r="S311">
        <v>0</v>
      </c>
      <c r="T311" t="s">
        <v>70</v>
      </c>
      <c r="U311">
        <v>14</v>
      </c>
      <c r="V311" t="s">
        <v>58</v>
      </c>
      <c r="X311" t="s">
        <v>60</v>
      </c>
      <c r="Y311">
        <v>0</v>
      </c>
      <c r="AG311">
        <v>10</v>
      </c>
      <c r="AH311">
        <v>1370</v>
      </c>
      <c r="AI311">
        <v>4</v>
      </c>
      <c r="AJ311">
        <v>0</v>
      </c>
      <c r="AK311">
        <v>0</v>
      </c>
      <c r="AL311">
        <v>0</v>
      </c>
      <c r="AM311">
        <v>4</v>
      </c>
      <c r="AN311">
        <v>1</v>
      </c>
      <c r="AO311" t="s">
        <v>136</v>
      </c>
      <c r="AQ311">
        <v>30.533650000000002</v>
      </c>
      <c r="AR311">
        <v>-91.177851000000004</v>
      </c>
      <c r="AT311">
        <v>8</v>
      </c>
      <c r="AU311">
        <v>12</v>
      </c>
      <c r="AV311">
        <v>770</v>
      </c>
      <c r="AW311" t="s">
        <v>73</v>
      </c>
      <c r="AX311">
        <v>22</v>
      </c>
      <c r="AY311">
        <v>22033</v>
      </c>
      <c r="AZ311">
        <v>12</v>
      </c>
    </row>
    <row r="312" spans="1:52" x14ac:dyDescent="0.3">
      <c r="A312">
        <v>194</v>
      </c>
      <c r="B312">
        <v>10171002162</v>
      </c>
      <c r="C312" t="s">
        <v>959</v>
      </c>
      <c r="D312" t="str">
        <f>IF(ISNUMBER(SEARCH("High",C312)), "High School","")</f>
        <v>High School</v>
      </c>
      <c r="E312">
        <v>101710</v>
      </c>
      <c r="F312" t="s">
        <v>960</v>
      </c>
      <c r="G312" s="1">
        <v>42879</v>
      </c>
      <c r="H312" t="s">
        <v>905</v>
      </c>
      <c r="I312">
        <v>2017</v>
      </c>
      <c r="J312" s="2">
        <v>0.47916666666666669</v>
      </c>
      <c r="K312" t="s">
        <v>90</v>
      </c>
      <c r="L312" t="s">
        <v>961</v>
      </c>
      <c r="M312" t="s">
        <v>614</v>
      </c>
      <c r="N312" s="4">
        <v>5039877</v>
      </c>
      <c r="O312" t="s">
        <v>56</v>
      </c>
      <c r="P312">
        <v>464</v>
      </c>
      <c r="Q312">
        <v>0</v>
      </c>
      <c r="R312">
        <v>0</v>
      </c>
      <c r="S312">
        <v>0</v>
      </c>
      <c r="T312" t="s">
        <v>70</v>
      </c>
      <c r="V312" t="s">
        <v>58</v>
      </c>
      <c r="X312" t="s">
        <v>60</v>
      </c>
      <c r="Y312">
        <v>0</v>
      </c>
      <c r="AG312">
        <v>3</v>
      </c>
      <c r="AH312">
        <v>457</v>
      </c>
      <c r="AI312">
        <v>1</v>
      </c>
      <c r="AJ312">
        <v>0</v>
      </c>
      <c r="AK312">
        <v>0</v>
      </c>
      <c r="AL312">
        <v>0</v>
      </c>
      <c r="AM312">
        <v>3</v>
      </c>
      <c r="AN312">
        <v>0</v>
      </c>
      <c r="AO312" t="s">
        <v>123</v>
      </c>
      <c r="AQ312">
        <v>32.707129999999999</v>
      </c>
      <c r="AR312">
        <v>-87.588999999999999</v>
      </c>
      <c r="AS312">
        <v>26.5</v>
      </c>
      <c r="AT312">
        <v>9</v>
      </c>
      <c r="AU312">
        <v>12</v>
      </c>
      <c r="AV312">
        <v>373</v>
      </c>
      <c r="AW312" t="s">
        <v>960</v>
      </c>
      <c r="AX312">
        <v>1</v>
      </c>
      <c r="AY312">
        <v>1065</v>
      </c>
      <c r="AZ312">
        <v>42</v>
      </c>
    </row>
    <row r="313" spans="1:52" x14ac:dyDescent="0.3">
      <c r="A313">
        <v>196</v>
      </c>
      <c r="B313" s="3">
        <v>390438000000</v>
      </c>
      <c r="C313" t="s">
        <v>964</v>
      </c>
      <c r="D313" t="s">
        <v>1542</v>
      </c>
      <c r="E313">
        <v>3904380</v>
      </c>
      <c r="F313" t="s">
        <v>917</v>
      </c>
      <c r="G313" s="1">
        <v>42986</v>
      </c>
      <c r="H313" t="s">
        <v>965</v>
      </c>
      <c r="I313">
        <v>2017</v>
      </c>
      <c r="J313" s="2">
        <v>0.35625000000000001</v>
      </c>
      <c r="K313" t="s">
        <v>95</v>
      </c>
      <c r="L313" t="s">
        <v>918</v>
      </c>
      <c r="M313" t="s">
        <v>180</v>
      </c>
      <c r="N313" s="4">
        <v>11780017</v>
      </c>
      <c r="O313" t="s">
        <v>56</v>
      </c>
      <c r="P313">
        <v>127</v>
      </c>
      <c r="Q313">
        <v>0</v>
      </c>
      <c r="R313">
        <v>0</v>
      </c>
      <c r="S313">
        <v>0</v>
      </c>
      <c r="T313" t="s">
        <v>57</v>
      </c>
      <c r="U313">
        <v>18</v>
      </c>
      <c r="V313" t="s">
        <v>58</v>
      </c>
      <c r="W313" t="s">
        <v>146</v>
      </c>
      <c r="Y313">
        <v>0</v>
      </c>
      <c r="AG313">
        <v>46</v>
      </c>
      <c r="AH313">
        <v>71</v>
      </c>
      <c r="AI313">
        <v>4</v>
      </c>
      <c r="AJ313">
        <v>0</v>
      </c>
      <c r="AK313">
        <v>0</v>
      </c>
      <c r="AL313">
        <v>0</v>
      </c>
      <c r="AM313">
        <v>6</v>
      </c>
      <c r="AN313">
        <v>0</v>
      </c>
      <c r="AO313" t="s">
        <v>254</v>
      </c>
      <c r="AQ313">
        <v>39.901629999999997</v>
      </c>
      <c r="AR313">
        <v>-82.995800000000003</v>
      </c>
      <c r="AS313">
        <v>34</v>
      </c>
      <c r="AT313">
        <v>6</v>
      </c>
      <c r="AU313">
        <v>12</v>
      </c>
      <c r="AV313">
        <v>127</v>
      </c>
      <c r="AW313" t="s">
        <v>919</v>
      </c>
      <c r="AX313">
        <v>39</v>
      </c>
      <c r="AY313">
        <v>39049</v>
      </c>
      <c r="AZ313">
        <v>11</v>
      </c>
    </row>
    <row r="314" spans="1:52" x14ac:dyDescent="0.3">
      <c r="A314">
        <v>203</v>
      </c>
      <c r="B314" s="3">
        <v>370192000000</v>
      </c>
      <c r="C314" t="s">
        <v>992</v>
      </c>
      <c r="D314" t="str">
        <f>IF(ISNUMBER(SEARCH("High",C314)), "High School","")</f>
        <v>High School</v>
      </c>
      <c r="E314">
        <v>3701920</v>
      </c>
      <c r="F314" t="s">
        <v>993</v>
      </c>
      <c r="G314" s="1">
        <v>43080</v>
      </c>
      <c r="H314" t="s">
        <v>965</v>
      </c>
      <c r="I314">
        <v>2017</v>
      </c>
      <c r="J314" s="2">
        <v>0.58888888888888891</v>
      </c>
      <c r="K314" t="s">
        <v>82</v>
      </c>
      <c r="L314" t="s">
        <v>994</v>
      </c>
      <c r="M314" t="s">
        <v>326</v>
      </c>
      <c r="N314" s="4">
        <v>10551162</v>
      </c>
      <c r="O314" t="s">
        <v>56</v>
      </c>
      <c r="P314">
        <v>1442</v>
      </c>
      <c r="Q314">
        <v>0</v>
      </c>
      <c r="R314">
        <v>0</v>
      </c>
      <c r="S314">
        <v>0</v>
      </c>
      <c r="T314" t="s">
        <v>70</v>
      </c>
      <c r="U314">
        <v>15</v>
      </c>
      <c r="V314" t="s">
        <v>58</v>
      </c>
      <c r="W314" t="s">
        <v>146</v>
      </c>
      <c r="Y314">
        <v>0</v>
      </c>
      <c r="AG314">
        <v>437</v>
      </c>
      <c r="AH314">
        <v>589</v>
      </c>
      <c r="AI314">
        <v>216</v>
      </c>
      <c r="AJ314">
        <v>147</v>
      </c>
      <c r="AK314">
        <v>6</v>
      </c>
      <c r="AL314">
        <v>0</v>
      </c>
      <c r="AM314">
        <v>47</v>
      </c>
      <c r="AN314">
        <v>1</v>
      </c>
      <c r="AO314" t="s">
        <v>136</v>
      </c>
      <c r="AQ314">
        <v>35.957949999999997</v>
      </c>
      <c r="AR314">
        <v>-80.023099999999999</v>
      </c>
      <c r="AS314">
        <v>94.67</v>
      </c>
      <c r="AT314">
        <v>9</v>
      </c>
      <c r="AU314">
        <v>12</v>
      </c>
      <c r="AV314">
        <v>904</v>
      </c>
      <c r="AW314" t="s">
        <v>995</v>
      </c>
      <c r="AX314">
        <v>37</v>
      </c>
      <c r="AY314">
        <v>37081</v>
      </c>
      <c r="AZ314">
        <v>12</v>
      </c>
    </row>
    <row r="315" spans="1:52" x14ac:dyDescent="0.3">
      <c r="A315">
        <v>205</v>
      </c>
      <c r="B315" s="3">
        <v>220019000000</v>
      </c>
      <c r="C315" t="s">
        <v>996</v>
      </c>
      <c r="D315" t="str">
        <f>IF(ISNUMBER(SEARCH("High",C315)), "High School","")</f>
        <v>High School</v>
      </c>
      <c r="E315">
        <v>2200188</v>
      </c>
      <c r="F315" t="s">
        <v>997</v>
      </c>
      <c r="G315" s="1">
        <v>43122</v>
      </c>
      <c r="H315" t="s">
        <v>965</v>
      </c>
      <c r="I315">
        <v>2018</v>
      </c>
      <c r="J315" s="2">
        <v>0.5625</v>
      </c>
      <c r="K315" t="s">
        <v>82</v>
      </c>
      <c r="L315" t="s">
        <v>186</v>
      </c>
      <c r="M315" t="s">
        <v>69</v>
      </c>
      <c r="N315" s="4">
        <v>4624047</v>
      </c>
      <c r="O315" t="s">
        <v>56</v>
      </c>
      <c r="P315">
        <v>172</v>
      </c>
      <c r="Q315">
        <v>0</v>
      </c>
      <c r="R315">
        <v>0</v>
      </c>
      <c r="S315">
        <v>0</v>
      </c>
      <c r="T315" t="s">
        <v>70</v>
      </c>
      <c r="Y315">
        <v>0</v>
      </c>
      <c r="AG315">
        <v>5</v>
      </c>
      <c r="AH315">
        <v>151</v>
      </c>
      <c r="AI315">
        <v>16</v>
      </c>
      <c r="AJ315">
        <v>0</v>
      </c>
      <c r="AK315">
        <v>0</v>
      </c>
      <c r="AL315">
        <v>0</v>
      </c>
      <c r="AM315">
        <v>0</v>
      </c>
      <c r="AN315">
        <v>0</v>
      </c>
      <c r="AQ315">
        <v>29.939959999999999</v>
      </c>
      <c r="AR315">
        <v>-90.079690999999997</v>
      </c>
      <c r="AS315">
        <v>19.940000000000001</v>
      </c>
      <c r="AT315">
        <v>9</v>
      </c>
      <c r="AU315">
        <v>12</v>
      </c>
      <c r="AW315" t="s">
        <v>188</v>
      </c>
      <c r="AX315">
        <v>22</v>
      </c>
      <c r="AY315">
        <v>22071</v>
      </c>
      <c r="AZ315">
        <v>11</v>
      </c>
    </row>
    <row r="316" spans="1:52" x14ac:dyDescent="0.3">
      <c r="A316">
        <v>207</v>
      </c>
      <c r="B316">
        <v>10237000942</v>
      </c>
      <c r="C316" t="s">
        <v>1006</v>
      </c>
      <c r="D316" t="str">
        <f>IF(ISNUMBER(SEARCH("High",C316)), "High School","")</f>
        <v>High School</v>
      </c>
      <c r="E316">
        <v>102370</v>
      </c>
      <c r="F316" t="s">
        <v>703</v>
      </c>
      <c r="G316" s="1">
        <v>43125</v>
      </c>
      <c r="H316" t="s">
        <v>965</v>
      </c>
      <c r="I316">
        <v>2018</v>
      </c>
      <c r="J316" s="2">
        <v>0.47222222222222227</v>
      </c>
      <c r="K316" t="s">
        <v>67</v>
      </c>
      <c r="L316" t="s">
        <v>704</v>
      </c>
      <c r="M316" t="s">
        <v>614</v>
      </c>
      <c r="N316" s="4">
        <v>5039877</v>
      </c>
      <c r="O316" t="s">
        <v>56</v>
      </c>
      <c r="P316">
        <v>2100</v>
      </c>
      <c r="Q316">
        <v>0</v>
      </c>
      <c r="R316">
        <v>0</v>
      </c>
      <c r="S316">
        <v>0</v>
      </c>
      <c r="T316" t="s">
        <v>70</v>
      </c>
      <c r="U316">
        <v>16</v>
      </c>
      <c r="V316" t="s">
        <v>58</v>
      </c>
      <c r="W316" t="s">
        <v>146</v>
      </c>
      <c r="X316" t="s">
        <v>60</v>
      </c>
      <c r="Y316">
        <v>0</v>
      </c>
      <c r="AG316">
        <v>402</v>
      </c>
      <c r="AH316">
        <v>1565</v>
      </c>
      <c r="AI316">
        <v>62</v>
      </c>
      <c r="AJ316">
        <v>42</v>
      </c>
      <c r="AK316">
        <v>3</v>
      </c>
      <c r="AL316">
        <v>2</v>
      </c>
      <c r="AM316">
        <v>24</v>
      </c>
      <c r="AN316">
        <v>1</v>
      </c>
      <c r="AO316" t="s">
        <v>242</v>
      </c>
      <c r="AP316" t="s">
        <v>116</v>
      </c>
      <c r="AQ316">
        <v>30.6828</v>
      </c>
      <c r="AR316">
        <v>-88.086699999999993</v>
      </c>
      <c r="AS316">
        <v>120</v>
      </c>
      <c r="AT316">
        <v>9</v>
      </c>
      <c r="AU316">
        <v>12</v>
      </c>
      <c r="AV316">
        <v>905</v>
      </c>
      <c r="AW316" t="s">
        <v>703</v>
      </c>
      <c r="AX316">
        <v>1</v>
      </c>
      <c r="AY316">
        <v>1097</v>
      </c>
      <c r="AZ316">
        <v>12</v>
      </c>
    </row>
    <row r="317" spans="1:52" x14ac:dyDescent="0.3">
      <c r="A317">
        <v>210</v>
      </c>
      <c r="B317" s="3">
        <v>130162000000</v>
      </c>
      <c r="C317" t="s">
        <v>1012</v>
      </c>
      <c r="D317" t="str">
        <f>IF(ISNUMBER(SEARCH("High",C317)), "High School","")</f>
        <v>High School</v>
      </c>
      <c r="E317">
        <v>1301620</v>
      </c>
      <c r="F317" t="s">
        <v>1013</v>
      </c>
      <c r="G317" s="1">
        <v>43159</v>
      </c>
      <c r="H317" t="s">
        <v>965</v>
      </c>
      <c r="I317">
        <v>2018</v>
      </c>
      <c r="J317" s="2">
        <v>0.47916666666666669</v>
      </c>
      <c r="K317" t="s">
        <v>90</v>
      </c>
      <c r="L317" t="s">
        <v>1014</v>
      </c>
      <c r="M317" t="s">
        <v>77</v>
      </c>
      <c r="N317" s="4">
        <v>10799566</v>
      </c>
      <c r="O317" t="s">
        <v>56</v>
      </c>
      <c r="P317">
        <v>1829</v>
      </c>
      <c r="Q317">
        <v>0</v>
      </c>
      <c r="R317">
        <v>0</v>
      </c>
      <c r="S317">
        <v>0</v>
      </c>
      <c r="T317" t="s">
        <v>57</v>
      </c>
      <c r="U317">
        <v>53</v>
      </c>
      <c r="V317" t="s">
        <v>58</v>
      </c>
      <c r="W317" t="s">
        <v>59</v>
      </c>
      <c r="X317" t="s">
        <v>1015</v>
      </c>
      <c r="Y317">
        <v>0</v>
      </c>
      <c r="AG317">
        <v>458</v>
      </c>
      <c r="AH317">
        <v>103</v>
      </c>
      <c r="AI317">
        <v>1192</v>
      </c>
      <c r="AJ317">
        <v>36</v>
      </c>
      <c r="AK317">
        <v>2</v>
      </c>
      <c r="AL317">
        <v>0</v>
      </c>
      <c r="AM317">
        <v>38</v>
      </c>
      <c r="AN317">
        <v>1</v>
      </c>
      <c r="AO317" t="s">
        <v>1016</v>
      </c>
      <c r="AQ317">
        <v>34.779719999999998</v>
      </c>
      <c r="AR317">
        <v>-84.990530000000007</v>
      </c>
      <c r="AS317">
        <v>101.7</v>
      </c>
      <c r="AT317">
        <v>9</v>
      </c>
      <c r="AU317">
        <v>12</v>
      </c>
      <c r="AV317">
        <v>1152</v>
      </c>
      <c r="AW317" t="s">
        <v>1017</v>
      </c>
      <c r="AX317">
        <v>13</v>
      </c>
      <c r="AY317">
        <v>13313</v>
      </c>
      <c r="AZ317">
        <v>13</v>
      </c>
    </row>
    <row r="318" spans="1:52" x14ac:dyDescent="0.3">
      <c r="A318">
        <v>213</v>
      </c>
      <c r="B318" s="3">
        <v>301854000000</v>
      </c>
      <c r="C318" t="s">
        <v>1022</v>
      </c>
      <c r="D318" t="str">
        <f>IF(ISNUMBER(SEARCH("High",C318)), "High School","")</f>
        <v>High School</v>
      </c>
      <c r="E318">
        <v>3018540</v>
      </c>
      <c r="F318" t="s">
        <v>1023</v>
      </c>
      <c r="G318" s="1">
        <v>43175</v>
      </c>
      <c r="H318" t="s">
        <v>965</v>
      </c>
      <c r="I318">
        <v>2018</v>
      </c>
      <c r="J318" s="2">
        <v>0.53125</v>
      </c>
      <c r="K318" t="s">
        <v>95</v>
      </c>
      <c r="L318" t="s">
        <v>1024</v>
      </c>
      <c r="M318" t="s">
        <v>1025</v>
      </c>
      <c r="N318" s="4">
        <v>1104271</v>
      </c>
      <c r="O318" t="s">
        <v>56</v>
      </c>
      <c r="P318">
        <v>1075</v>
      </c>
      <c r="Q318">
        <v>0</v>
      </c>
      <c r="R318">
        <v>0</v>
      </c>
      <c r="S318">
        <v>0</v>
      </c>
      <c r="T318" t="s">
        <v>70</v>
      </c>
      <c r="V318" t="s">
        <v>58</v>
      </c>
      <c r="X318" t="s">
        <v>478</v>
      </c>
      <c r="Y318">
        <v>0</v>
      </c>
      <c r="AG318">
        <v>903</v>
      </c>
      <c r="AH318">
        <v>17</v>
      </c>
      <c r="AI318">
        <v>58</v>
      </c>
      <c r="AJ318">
        <v>21</v>
      </c>
      <c r="AK318">
        <v>70</v>
      </c>
      <c r="AL318">
        <v>6</v>
      </c>
      <c r="AM318">
        <v>0</v>
      </c>
      <c r="AN318">
        <v>1</v>
      </c>
      <c r="AO318" t="s">
        <v>226</v>
      </c>
      <c r="AP318" t="s">
        <v>362</v>
      </c>
      <c r="AQ318">
        <v>46.850867000000001</v>
      </c>
      <c r="AR318">
        <v>-114.057737</v>
      </c>
      <c r="AS318">
        <v>68.290000000000006</v>
      </c>
      <c r="AT318">
        <v>9</v>
      </c>
      <c r="AU318">
        <v>12</v>
      </c>
      <c r="AV318">
        <v>405</v>
      </c>
      <c r="AW318" t="s">
        <v>1026</v>
      </c>
      <c r="AX318">
        <v>30</v>
      </c>
      <c r="AY318">
        <v>30063</v>
      </c>
      <c r="AZ318">
        <v>13</v>
      </c>
    </row>
    <row r="319" spans="1:52" x14ac:dyDescent="0.3">
      <c r="A319">
        <v>219</v>
      </c>
      <c r="B319" s="3">
        <v>171233000000</v>
      </c>
      <c r="C319" t="s">
        <v>1052</v>
      </c>
      <c r="D319" t="str">
        <f>IF(ISNUMBER(SEARCH("High",C319)), "High School","")</f>
        <v>High School</v>
      </c>
      <c r="E319">
        <v>1712330</v>
      </c>
      <c r="F319" t="s">
        <v>1053</v>
      </c>
      <c r="G319" s="1">
        <v>43236</v>
      </c>
      <c r="H319" t="s">
        <v>965</v>
      </c>
      <c r="I319">
        <v>2018</v>
      </c>
      <c r="J319" s="2">
        <v>0.33333333333333331</v>
      </c>
      <c r="K319" t="s">
        <v>90</v>
      </c>
      <c r="L319" t="s">
        <v>1054</v>
      </c>
      <c r="M319" t="s">
        <v>129</v>
      </c>
      <c r="N319" s="4">
        <v>12671469</v>
      </c>
      <c r="O319" t="s">
        <v>56</v>
      </c>
      <c r="P319">
        <v>803</v>
      </c>
      <c r="Q319">
        <v>0</v>
      </c>
      <c r="R319">
        <v>0</v>
      </c>
      <c r="S319">
        <v>0</v>
      </c>
      <c r="T319" t="s">
        <v>70</v>
      </c>
      <c r="U319">
        <v>19</v>
      </c>
      <c r="V319" t="s">
        <v>58</v>
      </c>
      <c r="W319" t="s">
        <v>59</v>
      </c>
      <c r="X319" t="s">
        <v>60</v>
      </c>
      <c r="Y319">
        <v>0</v>
      </c>
      <c r="AG319">
        <v>650</v>
      </c>
      <c r="AH319">
        <v>24</v>
      </c>
      <c r="AI319">
        <v>51</v>
      </c>
      <c r="AJ319">
        <v>17</v>
      </c>
      <c r="AK319">
        <v>1</v>
      </c>
      <c r="AL319">
        <v>0</v>
      </c>
      <c r="AM319">
        <v>60</v>
      </c>
      <c r="AN319">
        <v>1</v>
      </c>
      <c r="AO319" t="s">
        <v>1051</v>
      </c>
      <c r="AP319" t="s">
        <v>600</v>
      </c>
      <c r="AQ319">
        <v>41.847127999999998</v>
      </c>
      <c r="AR319">
        <v>-89.488507999999996</v>
      </c>
      <c r="AS319">
        <v>40.6</v>
      </c>
      <c r="AT319">
        <v>9</v>
      </c>
      <c r="AU319">
        <v>12</v>
      </c>
      <c r="AV319">
        <v>347</v>
      </c>
      <c r="AW319" t="s">
        <v>727</v>
      </c>
      <c r="AX319">
        <v>17</v>
      </c>
      <c r="AY319">
        <v>17103</v>
      </c>
      <c r="AZ319">
        <v>32</v>
      </c>
    </row>
    <row r="320" spans="1:52" x14ac:dyDescent="0.3">
      <c r="A320">
        <v>222</v>
      </c>
      <c r="B320" s="3">
        <v>370297000000</v>
      </c>
      <c r="C320" t="s">
        <v>1064</v>
      </c>
      <c r="D320" t="str">
        <f>IF(ISNUMBER(SEARCH("Elementary",C320)), "Elementary School","")</f>
        <v>Elementary School</v>
      </c>
      <c r="E320">
        <v>3702970</v>
      </c>
      <c r="F320" t="s">
        <v>337</v>
      </c>
      <c r="G320" s="1">
        <v>43342</v>
      </c>
      <c r="H320" t="s">
        <v>1065</v>
      </c>
      <c r="I320">
        <v>2018</v>
      </c>
      <c r="J320" s="2">
        <v>0.3125</v>
      </c>
      <c r="K320" t="s">
        <v>67</v>
      </c>
      <c r="L320" t="s">
        <v>338</v>
      </c>
      <c r="M320" t="s">
        <v>326</v>
      </c>
      <c r="N320" s="4">
        <v>10551162</v>
      </c>
      <c r="O320" t="s">
        <v>56</v>
      </c>
      <c r="P320">
        <v>100</v>
      </c>
      <c r="Q320">
        <v>0</v>
      </c>
      <c r="R320">
        <v>0</v>
      </c>
      <c r="S320">
        <v>0</v>
      </c>
      <c r="T320" t="s">
        <v>70</v>
      </c>
      <c r="U320">
        <v>34</v>
      </c>
      <c r="V320" t="s">
        <v>58</v>
      </c>
      <c r="W320" t="s">
        <v>146</v>
      </c>
      <c r="X320" t="s">
        <v>1066</v>
      </c>
      <c r="Y320">
        <v>0</v>
      </c>
      <c r="AG320">
        <v>24</v>
      </c>
      <c r="AH320">
        <v>73</v>
      </c>
      <c r="AI320">
        <v>15</v>
      </c>
      <c r="AJ320">
        <v>6</v>
      </c>
      <c r="AK320">
        <v>0</v>
      </c>
      <c r="AL320">
        <v>0</v>
      </c>
      <c r="AM320">
        <v>4</v>
      </c>
      <c r="AN320">
        <v>0</v>
      </c>
      <c r="AO320" t="s">
        <v>1067</v>
      </c>
      <c r="AP320" t="s">
        <v>116</v>
      </c>
      <c r="AQ320">
        <v>35.236843</v>
      </c>
      <c r="AR320">
        <v>-80.812768000000005</v>
      </c>
      <c r="AS320">
        <v>9.6300000000000008</v>
      </c>
      <c r="AT320" t="s">
        <v>124</v>
      </c>
      <c r="AU320">
        <v>5</v>
      </c>
      <c r="AV320">
        <v>119</v>
      </c>
      <c r="AW320" t="s">
        <v>339</v>
      </c>
      <c r="AX320">
        <v>37</v>
      </c>
      <c r="AY320">
        <v>37119</v>
      </c>
      <c r="AZ320">
        <v>11</v>
      </c>
    </row>
    <row r="321" spans="1:52" x14ac:dyDescent="0.3">
      <c r="A321">
        <v>225</v>
      </c>
      <c r="B321">
        <v>645876</v>
      </c>
      <c r="C321" t="s">
        <v>1080</v>
      </c>
      <c r="D321" t="s">
        <v>1542</v>
      </c>
      <c r="G321" s="1">
        <v>43385</v>
      </c>
      <c r="H321" t="s">
        <v>1065</v>
      </c>
      <c r="I321">
        <v>2018</v>
      </c>
      <c r="J321" s="2">
        <v>0.54166666666666663</v>
      </c>
      <c r="K321" t="s">
        <v>95</v>
      </c>
      <c r="L321" t="s">
        <v>1081</v>
      </c>
      <c r="M321" t="s">
        <v>145</v>
      </c>
      <c r="N321" s="4">
        <v>10050811</v>
      </c>
      <c r="O321" t="s">
        <v>216</v>
      </c>
      <c r="P321">
        <v>111</v>
      </c>
      <c r="Q321">
        <v>0</v>
      </c>
      <c r="R321">
        <v>0</v>
      </c>
      <c r="S321">
        <v>0</v>
      </c>
      <c r="T321" t="s">
        <v>792</v>
      </c>
      <c r="AG321">
        <v>53</v>
      </c>
      <c r="AH321">
        <v>17</v>
      </c>
      <c r="AI321">
        <v>9</v>
      </c>
      <c r="AJ321">
        <v>26</v>
      </c>
      <c r="AK321">
        <v>0</v>
      </c>
      <c r="AL321">
        <v>0</v>
      </c>
      <c r="AM321">
        <v>6</v>
      </c>
      <c r="AN321">
        <v>0</v>
      </c>
      <c r="AQ321">
        <v>42.33419</v>
      </c>
      <c r="AR321">
        <v>-85.207497000000004</v>
      </c>
      <c r="AS321">
        <v>9.9</v>
      </c>
      <c r="AT321" t="s">
        <v>124</v>
      </c>
      <c r="AU321">
        <v>12</v>
      </c>
      <c r="AW321" t="s">
        <v>1082</v>
      </c>
      <c r="AX321">
        <v>26</v>
      </c>
      <c r="AY321">
        <v>26025</v>
      </c>
      <c r="AZ321">
        <v>13</v>
      </c>
    </row>
    <row r="322" spans="1:52" x14ac:dyDescent="0.3">
      <c r="A322">
        <v>226</v>
      </c>
      <c r="B322">
        <v>90045001161</v>
      </c>
      <c r="C322" t="s">
        <v>1083</v>
      </c>
      <c r="D322" t="s">
        <v>1542</v>
      </c>
      <c r="E322">
        <v>900450</v>
      </c>
      <c r="F322" t="s">
        <v>1084</v>
      </c>
      <c r="G322" s="1">
        <v>43395</v>
      </c>
      <c r="H322" t="s">
        <v>1065</v>
      </c>
      <c r="I322">
        <v>2018</v>
      </c>
      <c r="J322" s="2">
        <v>0.34375</v>
      </c>
      <c r="K322" t="s">
        <v>82</v>
      </c>
      <c r="L322" t="s">
        <v>1085</v>
      </c>
      <c r="M322" t="s">
        <v>589</v>
      </c>
      <c r="N322" s="4">
        <v>3605597</v>
      </c>
      <c r="O322" t="s">
        <v>56</v>
      </c>
      <c r="P322">
        <v>416</v>
      </c>
      <c r="Q322">
        <v>0</v>
      </c>
      <c r="R322">
        <v>0</v>
      </c>
      <c r="S322">
        <v>0</v>
      </c>
      <c r="T322" t="s">
        <v>70</v>
      </c>
      <c r="U322">
        <v>18</v>
      </c>
      <c r="V322" t="s">
        <v>58</v>
      </c>
      <c r="AG322">
        <v>15</v>
      </c>
      <c r="AH322">
        <v>139</v>
      </c>
      <c r="AI322">
        <v>186</v>
      </c>
      <c r="AJ322">
        <v>2</v>
      </c>
      <c r="AK322">
        <v>2</v>
      </c>
      <c r="AL322">
        <v>0</v>
      </c>
      <c r="AM322">
        <v>14</v>
      </c>
      <c r="AN322">
        <v>0</v>
      </c>
      <c r="AO322" t="s">
        <v>136</v>
      </c>
      <c r="AQ322">
        <v>41.177546999999997</v>
      </c>
      <c r="AR322">
        <v>-73.164585000000002</v>
      </c>
      <c r="AS322">
        <v>24</v>
      </c>
      <c r="AT322" t="s">
        <v>130</v>
      </c>
      <c r="AU322">
        <v>8</v>
      </c>
      <c r="AV322">
        <v>377</v>
      </c>
      <c r="AW322" t="s">
        <v>590</v>
      </c>
      <c r="AX322">
        <v>9</v>
      </c>
      <c r="AY322">
        <v>9001</v>
      </c>
      <c r="AZ322">
        <v>12</v>
      </c>
    </row>
    <row r="323" spans="1:52" x14ac:dyDescent="0.3">
      <c r="A323">
        <v>229</v>
      </c>
      <c r="B323" s="3">
        <v>180951000000</v>
      </c>
      <c r="C323" t="s">
        <v>1090</v>
      </c>
      <c r="D323" t="s">
        <v>1542</v>
      </c>
      <c r="E323">
        <v>1809510</v>
      </c>
      <c r="F323" t="s">
        <v>1091</v>
      </c>
      <c r="G323" s="1">
        <v>43447</v>
      </c>
      <c r="H323" t="s">
        <v>1065</v>
      </c>
      <c r="I323">
        <v>2018</v>
      </c>
      <c r="J323" s="2">
        <v>0.33333333333333331</v>
      </c>
      <c r="K323" t="s">
        <v>67</v>
      </c>
      <c r="L323" t="s">
        <v>1092</v>
      </c>
      <c r="M323" t="s">
        <v>225</v>
      </c>
      <c r="N323" s="4">
        <v>6805985</v>
      </c>
      <c r="O323" t="s">
        <v>56</v>
      </c>
      <c r="P323">
        <v>647</v>
      </c>
      <c r="Q323">
        <v>0</v>
      </c>
      <c r="R323">
        <v>0</v>
      </c>
      <c r="S323">
        <v>0</v>
      </c>
      <c r="T323" t="s">
        <v>57</v>
      </c>
      <c r="U323">
        <v>14</v>
      </c>
      <c r="V323" t="s">
        <v>58</v>
      </c>
      <c r="X323" t="s">
        <v>60</v>
      </c>
      <c r="Y323">
        <v>1</v>
      </c>
      <c r="Z323" t="s">
        <v>61</v>
      </c>
      <c r="AG323">
        <v>454</v>
      </c>
      <c r="AH323">
        <v>48</v>
      </c>
      <c r="AI323">
        <v>64</v>
      </c>
      <c r="AJ323">
        <v>2</v>
      </c>
      <c r="AK323">
        <v>0</v>
      </c>
      <c r="AL323">
        <v>0</v>
      </c>
      <c r="AM323">
        <v>79</v>
      </c>
      <c r="AN323">
        <v>1</v>
      </c>
      <c r="AO323" t="s">
        <v>1093</v>
      </c>
      <c r="AQ323">
        <v>39.832000000000001</v>
      </c>
      <c r="AR323">
        <v>-84.9114</v>
      </c>
      <c r="AS323">
        <v>59.5</v>
      </c>
      <c r="AT323">
        <v>5</v>
      </c>
      <c r="AU323">
        <v>8</v>
      </c>
      <c r="AV323">
        <v>527</v>
      </c>
      <c r="AW323" t="s">
        <v>425</v>
      </c>
      <c r="AX323">
        <v>18</v>
      </c>
      <c r="AY323">
        <v>18177</v>
      </c>
      <c r="AZ323">
        <v>32</v>
      </c>
    </row>
    <row r="324" spans="1:52" x14ac:dyDescent="0.3">
      <c r="A324">
        <v>230</v>
      </c>
      <c r="B324" s="3">
        <v>410204000000</v>
      </c>
      <c r="C324" t="s">
        <v>1094</v>
      </c>
      <c r="D324" t="str">
        <f>IF(ISNUMBER(SEARCH("Middle",C324)), "Middle School","")</f>
        <v>Middle School</v>
      </c>
      <c r="E324">
        <v>4102040</v>
      </c>
      <c r="F324" t="s">
        <v>1095</v>
      </c>
      <c r="G324" s="1">
        <v>43476</v>
      </c>
      <c r="H324" t="s">
        <v>1065</v>
      </c>
      <c r="I324">
        <v>2019</v>
      </c>
      <c r="J324" s="2">
        <v>0.4375</v>
      </c>
      <c r="K324" t="s">
        <v>95</v>
      </c>
      <c r="L324" t="s">
        <v>1096</v>
      </c>
      <c r="M324" t="s">
        <v>459</v>
      </c>
      <c r="N324" s="4">
        <v>4246155</v>
      </c>
      <c r="O324" t="s">
        <v>56</v>
      </c>
      <c r="P324">
        <v>336</v>
      </c>
      <c r="Q324">
        <v>0</v>
      </c>
      <c r="R324">
        <v>0</v>
      </c>
      <c r="S324">
        <v>0</v>
      </c>
      <c r="T324" t="s">
        <v>70</v>
      </c>
      <c r="U324">
        <v>30</v>
      </c>
      <c r="V324" t="s">
        <v>58</v>
      </c>
      <c r="X324" t="s">
        <v>817</v>
      </c>
      <c r="Y324">
        <v>1</v>
      </c>
      <c r="Z324" t="s">
        <v>1097</v>
      </c>
      <c r="AG324">
        <v>224</v>
      </c>
      <c r="AH324">
        <v>1</v>
      </c>
      <c r="AI324">
        <v>79</v>
      </c>
      <c r="AJ324">
        <v>6</v>
      </c>
      <c r="AK324">
        <v>7</v>
      </c>
      <c r="AL324">
        <v>3</v>
      </c>
      <c r="AM324">
        <v>16</v>
      </c>
      <c r="AN324">
        <v>1</v>
      </c>
      <c r="AO324" t="s">
        <v>136</v>
      </c>
      <c r="AQ324">
        <v>44.078800000000001</v>
      </c>
      <c r="AR324">
        <v>-123.16670000000001</v>
      </c>
      <c r="AS324">
        <v>16.600000000000001</v>
      </c>
      <c r="AT324">
        <v>6</v>
      </c>
      <c r="AU324">
        <v>8</v>
      </c>
      <c r="AV324">
        <v>248</v>
      </c>
      <c r="AW324" t="s">
        <v>1098</v>
      </c>
      <c r="AX324">
        <v>41</v>
      </c>
      <c r="AY324">
        <v>41039</v>
      </c>
      <c r="AZ324">
        <v>12</v>
      </c>
    </row>
    <row r="325" spans="1:52" x14ac:dyDescent="0.3">
      <c r="A325">
        <v>232</v>
      </c>
      <c r="B325" s="3">
        <v>350001000000</v>
      </c>
      <c r="C325" t="s">
        <v>1105</v>
      </c>
      <c r="D325" t="str">
        <f>IF(ISNUMBER(SEARCH("High",C325)), "High School","")</f>
        <v>High School</v>
      </c>
      <c r="E325">
        <v>3500010</v>
      </c>
      <c r="F325" t="s">
        <v>1106</v>
      </c>
      <c r="G325" s="1">
        <v>43510</v>
      </c>
      <c r="H325" t="s">
        <v>1065</v>
      </c>
      <c r="I325">
        <v>2019</v>
      </c>
      <c r="J325" s="2">
        <v>0.30208333333333331</v>
      </c>
      <c r="K325" t="s">
        <v>67</v>
      </c>
      <c r="L325" t="s">
        <v>1107</v>
      </c>
      <c r="M325" t="s">
        <v>97</v>
      </c>
      <c r="N325" s="4">
        <v>2115877</v>
      </c>
      <c r="O325" t="s">
        <v>56</v>
      </c>
      <c r="P325">
        <v>2404</v>
      </c>
      <c r="Q325">
        <v>0</v>
      </c>
      <c r="R325">
        <v>0</v>
      </c>
      <c r="S325">
        <v>0</v>
      </c>
      <c r="T325" t="s">
        <v>220</v>
      </c>
      <c r="U325">
        <v>16</v>
      </c>
      <c r="V325" t="s">
        <v>58</v>
      </c>
      <c r="X325" t="s">
        <v>60</v>
      </c>
      <c r="Y325">
        <v>0</v>
      </c>
      <c r="AG325">
        <v>795</v>
      </c>
      <c r="AH325">
        <v>63</v>
      </c>
      <c r="AI325">
        <v>1284</v>
      </c>
      <c r="AJ325">
        <v>35</v>
      </c>
      <c r="AK325">
        <v>97</v>
      </c>
      <c r="AL325">
        <v>2</v>
      </c>
      <c r="AM325">
        <v>128</v>
      </c>
      <c r="AN325">
        <v>0</v>
      </c>
      <c r="AO325" t="s">
        <v>689</v>
      </c>
      <c r="AQ325">
        <v>35.312773</v>
      </c>
      <c r="AR325">
        <v>-106.641929</v>
      </c>
      <c r="AS325">
        <v>123.06</v>
      </c>
      <c r="AT325">
        <v>9</v>
      </c>
      <c r="AU325">
        <v>12</v>
      </c>
      <c r="AV325">
        <v>750</v>
      </c>
      <c r="AW325" t="s">
        <v>1108</v>
      </c>
      <c r="AX325">
        <v>35</v>
      </c>
      <c r="AY325">
        <v>35043</v>
      </c>
      <c r="AZ325">
        <v>41</v>
      </c>
    </row>
    <row r="326" spans="1:52" x14ac:dyDescent="0.3">
      <c r="A326">
        <v>233</v>
      </c>
      <c r="B326" s="3">
        <v>201164000000</v>
      </c>
      <c r="C326" t="s">
        <v>1110</v>
      </c>
      <c r="D326" t="str">
        <f>IF(ISNUMBER(SEARCH("High",C326)), "High School","")</f>
        <v>High School</v>
      </c>
      <c r="E326">
        <v>2011640</v>
      </c>
      <c r="F326" t="s">
        <v>1111</v>
      </c>
      <c r="G326" s="1">
        <v>43525</v>
      </c>
      <c r="H326" t="s">
        <v>1065</v>
      </c>
      <c r="I326">
        <v>2019</v>
      </c>
      <c r="J326" s="2">
        <v>0.5625</v>
      </c>
      <c r="K326" t="s">
        <v>95</v>
      </c>
      <c r="L326" t="s">
        <v>1112</v>
      </c>
      <c r="M326" t="s">
        <v>1113</v>
      </c>
      <c r="N326" s="4">
        <v>2934582</v>
      </c>
      <c r="O326" t="s">
        <v>56</v>
      </c>
      <c r="P326">
        <v>321</v>
      </c>
      <c r="Q326">
        <v>0</v>
      </c>
      <c r="R326">
        <v>0</v>
      </c>
      <c r="S326">
        <v>0</v>
      </c>
      <c r="T326" t="s">
        <v>57</v>
      </c>
      <c r="U326">
        <v>26</v>
      </c>
      <c r="V326" t="s">
        <v>58</v>
      </c>
      <c r="W326" t="s">
        <v>59</v>
      </c>
      <c r="X326" t="s">
        <v>1114</v>
      </c>
      <c r="Y326">
        <v>0</v>
      </c>
      <c r="AG326">
        <v>270</v>
      </c>
      <c r="AH326">
        <v>5</v>
      </c>
      <c r="AI326">
        <v>20</v>
      </c>
      <c r="AJ326">
        <v>2</v>
      </c>
      <c r="AK326">
        <v>0</v>
      </c>
      <c r="AL326">
        <v>0</v>
      </c>
      <c r="AM326">
        <v>24</v>
      </c>
      <c r="AN326">
        <v>0</v>
      </c>
      <c r="AO326" t="s">
        <v>136</v>
      </c>
      <c r="AQ326">
        <v>39.016800000000003</v>
      </c>
      <c r="AR326">
        <v>-94.640900000000002</v>
      </c>
      <c r="AS326">
        <v>27.2</v>
      </c>
      <c r="AT326" t="s">
        <v>130</v>
      </c>
      <c r="AU326">
        <v>6</v>
      </c>
      <c r="AV326">
        <v>48</v>
      </c>
      <c r="AW326" t="s">
        <v>1115</v>
      </c>
      <c r="AX326">
        <v>20</v>
      </c>
      <c r="AY326">
        <v>20091</v>
      </c>
      <c r="AZ326">
        <v>21</v>
      </c>
    </row>
    <row r="327" spans="1:52" x14ac:dyDescent="0.3">
      <c r="A327">
        <v>237</v>
      </c>
      <c r="B327" s="3">
        <v>120048000000</v>
      </c>
      <c r="C327" t="s">
        <v>1127</v>
      </c>
      <c r="D327" t="s">
        <v>1542</v>
      </c>
      <c r="E327">
        <v>1200480</v>
      </c>
      <c r="F327" t="s">
        <v>581</v>
      </c>
      <c r="G327" s="1">
        <v>43558</v>
      </c>
      <c r="H327" t="s">
        <v>1065</v>
      </c>
      <c r="I327">
        <v>2019</v>
      </c>
      <c r="J327" s="2">
        <v>0.45833333333333331</v>
      </c>
      <c r="K327" t="s">
        <v>90</v>
      </c>
      <c r="L327" t="s">
        <v>404</v>
      </c>
      <c r="M327" t="s">
        <v>113</v>
      </c>
      <c r="N327" s="4">
        <v>21781128</v>
      </c>
      <c r="O327" t="s">
        <v>56</v>
      </c>
      <c r="P327">
        <v>380</v>
      </c>
      <c r="Q327">
        <v>0</v>
      </c>
      <c r="R327">
        <v>0</v>
      </c>
      <c r="S327">
        <v>0</v>
      </c>
      <c r="T327" t="s">
        <v>792</v>
      </c>
      <c r="AG327">
        <v>5</v>
      </c>
      <c r="AH327">
        <v>367</v>
      </c>
      <c r="AI327">
        <v>3</v>
      </c>
      <c r="AJ327">
        <v>0</v>
      </c>
      <c r="AK327">
        <v>0</v>
      </c>
      <c r="AL327">
        <v>0</v>
      </c>
      <c r="AM327">
        <v>5</v>
      </c>
      <c r="AN327">
        <v>0</v>
      </c>
      <c r="AQ327">
        <v>30.371085999999998</v>
      </c>
      <c r="AR327">
        <v>-81.695138</v>
      </c>
      <c r="AS327">
        <v>29</v>
      </c>
      <c r="AT327" t="s">
        <v>130</v>
      </c>
      <c r="AU327">
        <v>5</v>
      </c>
      <c r="AV327">
        <v>336</v>
      </c>
      <c r="AW327" t="s">
        <v>405</v>
      </c>
      <c r="AX327">
        <v>12</v>
      </c>
      <c r="AY327">
        <v>12031</v>
      </c>
      <c r="AZ327">
        <v>11</v>
      </c>
    </row>
    <row r="328" spans="1:52" x14ac:dyDescent="0.3">
      <c r="A328">
        <v>240</v>
      </c>
      <c r="B328" s="3">
        <v>110003000000</v>
      </c>
      <c r="C328" t="s">
        <v>1147</v>
      </c>
      <c r="D328" t="str">
        <f>IF(ISNUMBER(SEARCH("Elementary",C328)), "Elementary School","")</f>
        <v>Elementary School</v>
      </c>
      <c r="E328">
        <v>1100030</v>
      </c>
      <c r="F328" t="s">
        <v>1139</v>
      </c>
      <c r="G328" s="1">
        <v>43733</v>
      </c>
      <c r="H328" t="s">
        <v>1141</v>
      </c>
      <c r="I328">
        <v>2019</v>
      </c>
      <c r="K328" t="s">
        <v>90</v>
      </c>
      <c r="L328" t="s">
        <v>171</v>
      </c>
      <c r="M328" t="s">
        <v>296</v>
      </c>
      <c r="N328" s="4">
        <v>670050</v>
      </c>
      <c r="O328" t="s">
        <v>56</v>
      </c>
      <c r="P328">
        <v>243</v>
      </c>
      <c r="Q328">
        <v>0</v>
      </c>
      <c r="R328">
        <v>0</v>
      </c>
      <c r="S328">
        <v>0</v>
      </c>
      <c r="T328" t="s">
        <v>70</v>
      </c>
      <c r="AG328">
        <v>0</v>
      </c>
      <c r="AH328">
        <v>238</v>
      </c>
      <c r="AI328">
        <v>5</v>
      </c>
      <c r="AJ328">
        <v>0</v>
      </c>
      <c r="AK328">
        <v>0</v>
      </c>
      <c r="AL328">
        <v>0</v>
      </c>
      <c r="AM328">
        <v>0</v>
      </c>
      <c r="AN328">
        <v>0</v>
      </c>
      <c r="AQ328">
        <v>38.896669000000003</v>
      </c>
      <c r="AR328">
        <v>-76.933728000000002</v>
      </c>
      <c r="AS328">
        <v>21</v>
      </c>
      <c r="AT328" t="s">
        <v>130</v>
      </c>
      <c r="AU328">
        <v>5</v>
      </c>
      <c r="AW328" t="s">
        <v>296</v>
      </c>
      <c r="AX328">
        <v>11</v>
      </c>
      <c r="AY328">
        <v>11001</v>
      </c>
      <c r="AZ328">
        <v>11</v>
      </c>
    </row>
    <row r="329" spans="1:52" x14ac:dyDescent="0.3">
      <c r="A329">
        <v>241</v>
      </c>
      <c r="B329" s="3">
        <v>450072000000</v>
      </c>
      <c r="C329" t="s">
        <v>1143</v>
      </c>
      <c r="D329" t="str">
        <f>IF(ISNUMBER(SEARCH("High",C329)), "High School","")</f>
        <v>High School</v>
      </c>
      <c r="E329">
        <v>4500720</v>
      </c>
      <c r="F329" t="s">
        <v>1144</v>
      </c>
      <c r="G329" s="1">
        <v>43718</v>
      </c>
      <c r="H329" t="s">
        <v>1141</v>
      </c>
      <c r="I329">
        <v>2019</v>
      </c>
      <c r="K329" t="s">
        <v>53</v>
      </c>
      <c r="L329" t="s">
        <v>1145</v>
      </c>
      <c r="M329" t="s">
        <v>604</v>
      </c>
      <c r="N329" s="4">
        <v>5190705</v>
      </c>
      <c r="O329" t="s">
        <v>56</v>
      </c>
      <c r="P329">
        <v>1405</v>
      </c>
      <c r="Q329">
        <v>0</v>
      </c>
      <c r="R329">
        <v>0</v>
      </c>
      <c r="S329">
        <v>0</v>
      </c>
      <c r="T329" t="s">
        <v>792</v>
      </c>
      <c r="AG329">
        <v>840</v>
      </c>
      <c r="AH329">
        <v>391</v>
      </c>
      <c r="AI329">
        <v>99</v>
      </c>
      <c r="AJ329">
        <v>19</v>
      </c>
      <c r="AK329">
        <v>6</v>
      </c>
      <c r="AL329">
        <v>1</v>
      </c>
      <c r="AM329">
        <v>49</v>
      </c>
      <c r="AN329">
        <v>0</v>
      </c>
      <c r="AQ329">
        <v>33.521766</v>
      </c>
      <c r="AR329">
        <v>-81.713030000000003</v>
      </c>
      <c r="AS329">
        <v>78.8</v>
      </c>
      <c r="AT329">
        <v>9</v>
      </c>
      <c r="AU329">
        <v>12</v>
      </c>
      <c r="AV329">
        <v>441</v>
      </c>
      <c r="AW329" t="s">
        <v>1146</v>
      </c>
      <c r="AX329">
        <v>45</v>
      </c>
      <c r="AY329">
        <v>45003</v>
      </c>
      <c r="AZ329">
        <v>21</v>
      </c>
    </row>
    <row r="330" spans="1:52" x14ac:dyDescent="0.3">
      <c r="A330">
        <v>243</v>
      </c>
      <c r="C330" t="s">
        <v>1135</v>
      </c>
      <c r="D330" t="s">
        <v>1542</v>
      </c>
      <c r="G330" s="1">
        <v>43626</v>
      </c>
      <c r="H330" t="s">
        <v>1065</v>
      </c>
      <c r="I330">
        <v>2019</v>
      </c>
      <c r="J330" s="2">
        <v>0.57291666666666663</v>
      </c>
      <c r="K330" t="s">
        <v>82</v>
      </c>
      <c r="L330" t="s">
        <v>1136</v>
      </c>
      <c r="M330" t="s">
        <v>129</v>
      </c>
      <c r="N330" s="4">
        <v>12671469</v>
      </c>
      <c r="O330" t="s">
        <v>216</v>
      </c>
      <c r="P330">
        <v>100</v>
      </c>
      <c r="Q330">
        <v>0</v>
      </c>
      <c r="R330">
        <v>0</v>
      </c>
      <c r="S330">
        <v>0</v>
      </c>
      <c r="T330" t="s">
        <v>70</v>
      </c>
      <c r="U330">
        <v>27</v>
      </c>
      <c r="V330" t="s">
        <v>58</v>
      </c>
      <c r="W330" t="s">
        <v>99</v>
      </c>
      <c r="Y330">
        <v>0</v>
      </c>
      <c r="AA330">
        <v>15</v>
      </c>
      <c r="AB330" t="s">
        <v>58</v>
      </c>
      <c r="AE330">
        <v>0</v>
      </c>
      <c r="AN330">
        <v>1</v>
      </c>
      <c r="AO330" t="s">
        <v>1137</v>
      </c>
      <c r="AQ330">
        <v>42.353331750000002</v>
      </c>
      <c r="AR330">
        <v>-87.839509250000006</v>
      </c>
      <c r="AT330" t="s">
        <v>130</v>
      </c>
      <c r="AU330">
        <v>12</v>
      </c>
      <c r="AX330">
        <v>17</v>
      </c>
      <c r="AY330">
        <v>17097</v>
      </c>
    </row>
    <row r="331" spans="1:52" x14ac:dyDescent="0.3">
      <c r="A331">
        <v>244</v>
      </c>
      <c r="B331">
        <v>10243002084</v>
      </c>
      <c r="C331" t="s">
        <v>1140</v>
      </c>
      <c r="D331" t="str">
        <f>IF(ISNUMBER(SEARCH("Elementary",C331)), "Elementary School","")</f>
        <v>Elementary School</v>
      </c>
      <c r="E331">
        <v>102430</v>
      </c>
      <c r="F331" t="s">
        <v>947</v>
      </c>
      <c r="G331" s="1">
        <v>43685</v>
      </c>
      <c r="H331" t="s">
        <v>1141</v>
      </c>
      <c r="I331">
        <v>2019</v>
      </c>
      <c r="J331" s="2">
        <v>0.30972222222222223</v>
      </c>
      <c r="K331" t="s">
        <v>67</v>
      </c>
      <c r="L331" t="s">
        <v>948</v>
      </c>
      <c r="M331" t="s">
        <v>614</v>
      </c>
      <c r="N331" s="4">
        <v>5039877</v>
      </c>
      <c r="O331" t="s">
        <v>56</v>
      </c>
      <c r="P331">
        <v>150</v>
      </c>
      <c r="Q331">
        <v>0</v>
      </c>
      <c r="R331">
        <v>0</v>
      </c>
      <c r="S331">
        <v>0</v>
      </c>
      <c r="T331" t="s">
        <v>70</v>
      </c>
      <c r="U331">
        <v>38</v>
      </c>
      <c r="V331" t="s">
        <v>58</v>
      </c>
      <c r="W331" t="s">
        <v>146</v>
      </c>
      <c r="X331" t="s">
        <v>817</v>
      </c>
      <c r="Y331">
        <v>0</v>
      </c>
      <c r="AG331">
        <v>150</v>
      </c>
      <c r="AH331">
        <v>116</v>
      </c>
      <c r="AI331">
        <v>25</v>
      </c>
      <c r="AJ331">
        <v>121</v>
      </c>
      <c r="AK331">
        <v>1</v>
      </c>
      <c r="AL331">
        <v>0</v>
      </c>
      <c r="AM331">
        <v>12</v>
      </c>
      <c r="AN331">
        <v>0</v>
      </c>
      <c r="AO331" t="s">
        <v>226</v>
      </c>
      <c r="AQ331">
        <v>32.310600000000001</v>
      </c>
      <c r="AR331">
        <v>-86.132400000000004</v>
      </c>
      <c r="AS331">
        <v>25</v>
      </c>
      <c r="AT331" t="s">
        <v>124</v>
      </c>
      <c r="AU331">
        <v>5</v>
      </c>
      <c r="AV331">
        <v>65</v>
      </c>
      <c r="AW331" t="s">
        <v>947</v>
      </c>
      <c r="AX331">
        <v>1</v>
      </c>
      <c r="AY331">
        <v>1101</v>
      </c>
      <c r="AZ331">
        <v>41</v>
      </c>
    </row>
    <row r="332" spans="1:52" x14ac:dyDescent="0.3">
      <c r="A332">
        <v>245</v>
      </c>
      <c r="B332" s="3">
        <v>110003000000</v>
      </c>
      <c r="C332" t="s">
        <v>1138</v>
      </c>
      <c r="D332" t="str">
        <f>IF(ISNUMBER(SEARCH("Elementary",C332)), "Elementary School","")</f>
        <v>Elementary School</v>
      </c>
      <c r="E332">
        <v>1100030</v>
      </c>
      <c r="F332" t="s">
        <v>1139</v>
      </c>
      <c r="G332" s="1">
        <v>43628</v>
      </c>
      <c r="H332" t="s">
        <v>1065</v>
      </c>
      <c r="I332">
        <v>2019</v>
      </c>
      <c r="J332" s="2">
        <v>0.68055555555555547</v>
      </c>
      <c r="K332" t="s">
        <v>90</v>
      </c>
      <c r="L332" t="s">
        <v>171</v>
      </c>
      <c r="M332" t="s">
        <v>296</v>
      </c>
      <c r="N332" s="4">
        <v>670050</v>
      </c>
      <c r="O332" t="s">
        <v>56</v>
      </c>
      <c r="P332">
        <v>379</v>
      </c>
      <c r="Q332">
        <v>0</v>
      </c>
      <c r="R332">
        <v>0</v>
      </c>
      <c r="S332">
        <v>0</v>
      </c>
      <c r="T332" t="s">
        <v>792</v>
      </c>
      <c r="AG332">
        <v>0</v>
      </c>
      <c r="AH332">
        <v>378</v>
      </c>
      <c r="AI332">
        <v>0</v>
      </c>
      <c r="AJ332">
        <v>1</v>
      </c>
      <c r="AK332">
        <v>0</v>
      </c>
      <c r="AL332">
        <v>0</v>
      </c>
      <c r="AM332">
        <v>0</v>
      </c>
      <c r="AN332">
        <v>0</v>
      </c>
      <c r="AQ332">
        <v>38.828871999999997</v>
      </c>
      <c r="AR332">
        <v>-76.999555000000001</v>
      </c>
      <c r="AS332">
        <v>29.5</v>
      </c>
      <c r="AT332" t="s">
        <v>130</v>
      </c>
      <c r="AU332">
        <v>5</v>
      </c>
      <c r="AW332" t="s">
        <v>296</v>
      </c>
      <c r="AX332">
        <v>11</v>
      </c>
      <c r="AY332">
        <v>11001</v>
      </c>
      <c r="AZ332">
        <v>11</v>
      </c>
    </row>
    <row r="333" spans="1:52" x14ac:dyDescent="0.3">
      <c r="A333">
        <v>251</v>
      </c>
      <c r="B333">
        <v>10117000429</v>
      </c>
      <c r="C333" t="s">
        <v>1168</v>
      </c>
      <c r="D333" t="str">
        <f>IF(ISNUMBER(SEARCH("High",C333)), "High School","")</f>
        <v>High School</v>
      </c>
      <c r="E333">
        <v>101170</v>
      </c>
      <c r="F333" t="s">
        <v>1169</v>
      </c>
      <c r="G333" s="1">
        <v>43809</v>
      </c>
      <c r="H333" t="s">
        <v>1141</v>
      </c>
      <c r="I333">
        <v>2019</v>
      </c>
      <c r="J333" s="2">
        <v>0.34722222222222227</v>
      </c>
      <c r="K333" t="s">
        <v>53</v>
      </c>
      <c r="L333" t="s">
        <v>750</v>
      </c>
      <c r="M333" t="s">
        <v>614</v>
      </c>
      <c r="N333" s="4">
        <v>5039877</v>
      </c>
      <c r="O333" t="s">
        <v>56</v>
      </c>
      <c r="P333">
        <v>1036</v>
      </c>
      <c r="Q333">
        <v>0</v>
      </c>
      <c r="R333">
        <v>0</v>
      </c>
      <c r="S333">
        <v>0</v>
      </c>
      <c r="T333" t="s">
        <v>70</v>
      </c>
      <c r="U333">
        <v>22</v>
      </c>
      <c r="V333" t="s">
        <v>58</v>
      </c>
      <c r="Y333">
        <v>0</v>
      </c>
      <c r="AG333">
        <v>448</v>
      </c>
      <c r="AH333">
        <v>301</v>
      </c>
      <c r="AI333">
        <v>250</v>
      </c>
      <c r="AJ333">
        <v>9</v>
      </c>
      <c r="AK333">
        <v>6</v>
      </c>
      <c r="AL333">
        <v>2</v>
      </c>
      <c r="AM333">
        <v>20</v>
      </c>
      <c r="AN333">
        <v>0</v>
      </c>
      <c r="AQ333">
        <v>34.593282000000002</v>
      </c>
      <c r="AR333">
        <v>-86.972160000000002</v>
      </c>
      <c r="AS333">
        <v>64.5</v>
      </c>
      <c r="AT333">
        <v>9</v>
      </c>
      <c r="AU333">
        <v>12</v>
      </c>
      <c r="AV333">
        <v>586</v>
      </c>
      <c r="AW333" t="s">
        <v>659</v>
      </c>
      <c r="AX333">
        <v>1</v>
      </c>
      <c r="AY333">
        <v>1103</v>
      </c>
      <c r="AZ333">
        <v>13</v>
      </c>
    </row>
    <row r="334" spans="1:52" x14ac:dyDescent="0.3">
      <c r="A334">
        <v>252</v>
      </c>
      <c r="B334">
        <v>864049</v>
      </c>
      <c r="C334" t="s">
        <v>1170</v>
      </c>
      <c r="D334" t="s">
        <v>1542</v>
      </c>
      <c r="G334" s="1">
        <v>43809</v>
      </c>
      <c r="H334" t="s">
        <v>1141</v>
      </c>
      <c r="I334">
        <v>2019</v>
      </c>
      <c r="J334" s="2">
        <v>0.53125</v>
      </c>
      <c r="K334" t="s">
        <v>53</v>
      </c>
      <c r="L334" t="s">
        <v>275</v>
      </c>
      <c r="M334" t="s">
        <v>276</v>
      </c>
      <c r="N334" s="4">
        <v>9267130</v>
      </c>
      <c r="O334" t="s">
        <v>216</v>
      </c>
      <c r="P334">
        <v>219</v>
      </c>
      <c r="Q334">
        <v>0</v>
      </c>
      <c r="R334">
        <v>0</v>
      </c>
      <c r="S334">
        <v>0</v>
      </c>
      <c r="T334" t="s">
        <v>70</v>
      </c>
      <c r="AG334">
        <v>2</v>
      </c>
      <c r="AH334">
        <v>180</v>
      </c>
      <c r="AI334">
        <v>12</v>
      </c>
      <c r="AJ334">
        <v>5</v>
      </c>
      <c r="AK334">
        <v>0</v>
      </c>
      <c r="AL334">
        <v>0</v>
      </c>
      <c r="AM334">
        <v>0</v>
      </c>
      <c r="AN334">
        <v>0</v>
      </c>
      <c r="AQ334">
        <v>40.706963000000002</v>
      </c>
      <c r="AR334">
        <v>-74.083408000000006</v>
      </c>
      <c r="AS334">
        <v>11.5</v>
      </c>
      <c r="AT334" t="s">
        <v>130</v>
      </c>
      <c r="AU334">
        <v>8</v>
      </c>
      <c r="AW334" t="s">
        <v>278</v>
      </c>
      <c r="AX334">
        <v>34</v>
      </c>
      <c r="AY334">
        <v>34017</v>
      </c>
      <c r="AZ334">
        <v>11</v>
      </c>
    </row>
    <row r="335" spans="1:52" x14ac:dyDescent="0.3">
      <c r="A335">
        <v>253</v>
      </c>
      <c r="B335">
        <v>230704</v>
      </c>
      <c r="C335" t="s">
        <v>1171</v>
      </c>
      <c r="D335" t="s">
        <v>1542</v>
      </c>
      <c r="G335" s="1">
        <v>43815</v>
      </c>
      <c r="H335" t="s">
        <v>1141</v>
      </c>
      <c r="I335">
        <v>2019</v>
      </c>
      <c r="J335" s="2">
        <v>0.375</v>
      </c>
      <c r="K335" t="s">
        <v>82</v>
      </c>
      <c r="L335" t="s">
        <v>1172</v>
      </c>
      <c r="M335" t="s">
        <v>589</v>
      </c>
      <c r="N335" s="4">
        <v>3605597</v>
      </c>
      <c r="O335" t="s">
        <v>216</v>
      </c>
      <c r="P335">
        <v>292</v>
      </c>
      <c r="Q335">
        <v>0</v>
      </c>
      <c r="R335">
        <v>0</v>
      </c>
      <c r="S335">
        <v>0</v>
      </c>
      <c r="T335" t="s">
        <v>70</v>
      </c>
      <c r="V335" t="s">
        <v>58</v>
      </c>
      <c r="W335" t="s">
        <v>146</v>
      </c>
      <c r="AG335">
        <v>27</v>
      </c>
      <c r="AH335">
        <v>141</v>
      </c>
      <c r="AI335">
        <v>39</v>
      </c>
      <c r="AJ335">
        <v>9</v>
      </c>
      <c r="AK335">
        <v>2</v>
      </c>
      <c r="AL335">
        <v>0</v>
      </c>
      <c r="AM335">
        <v>2</v>
      </c>
      <c r="AN335">
        <v>0</v>
      </c>
      <c r="AQ335">
        <v>41.325823</v>
      </c>
      <c r="AR335">
        <v>-72.963177000000002</v>
      </c>
      <c r="AS335">
        <v>13</v>
      </c>
      <c r="AT335" t="s">
        <v>130</v>
      </c>
      <c r="AU335">
        <v>8</v>
      </c>
      <c r="AW335" t="s">
        <v>1173</v>
      </c>
      <c r="AX335">
        <v>9</v>
      </c>
      <c r="AY335">
        <v>9009</v>
      </c>
      <c r="AZ335">
        <v>12</v>
      </c>
    </row>
    <row r="336" spans="1:52" x14ac:dyDescent="0.3">
      <c r="A336">
        <v>256</v>
      </c>
      <c r="B336" s="3">
        <v>490087000000</v>
      </c>
      <c r="C336" t="s">
        <v>1178</v>
      </c>
      <c r="D336" t="str">
        <f>IF(ISNUMBER(SEARCH("High",C336)), "High School","")</f>
        <v>High School</v>
      </c>
      <c r="E336">
        <v>4900870</v>
      </c>
      <c r="F336" t="s">
        <v>1179</v>
      </c>
      <c r="G336" s="1">
        <v>43874</v>
      </c>
      <c r="H336" t="s">
        <v>1141</v>
      </c>
      <c r="I336">
        <v>2020</v>
      </c>
      <c r="J336" s="2">
        <v>0.625</v>
      </c>
      <c r="K336" t="s">
        <v>67</v>
      </c>
      <c r="L336" t="s">
        <v>1180</v>
      </c>
      <c r="M336" t="s">
        <v>928</v>
      </c>
      <c r="N336" s="4">
        <v>3337975</v>
      </c>
      <c r="O336" t="s">
        <v>56</v>
      </c>
      <c r="P336">
        <v>2703</v>
      </c>
      <c r="Q336">
        <v>0</v>
      </c>
      <c r="R336">
        <v>0</v>
      </c>
      <c r="S336">
        <v>0</v>
      </c>
      <c r="T336" t="s">
        <v>70</v>
      </c>
      <c r="X336" t="s">
        <v>60</v>
      </c>
      <c r="AG336">
        <v>966</v>
      </c>
      <c r="AH336">
        <v>127</v>
      </c>
      <c r="AI336">
        <v>1137</v>
      </c>
      <c r="AJ336">
        <v>229</v>
      </c>
      <c r="AK336">
        <v>25</v>
      </c>
      <c r="AL336">
        <v>101</v>
      </c>
      <c r="AM336">
        <v>118</v>
      </c>
      <c r="AN336">
        <v>0</v>
      </c>
      <c r="AQ336">
        <v>40.774742000000003</v>
      </c>
      <c r="AR336">
        <v>-111.90044399999999</v>
      </c>
      <c r="AS336">
        <v>111.84</v>
      </c>
      <c r="AT336">
        <v>7</v>
      </c>
      <c r="AU336">
        <v>12</v>
      </c>
      <c r="AV336">
        <v>1483</v>
      </c>
      <c r="AW336" t="s">
        <v>929</v>
      </c>
      <c r="AX336">
        <v>49</v>
      </c>
      <c r="AY336">
        <v>49035</v>
      </c>
      <c r="AZ336">
        <v>12</v>
      </c>
    </row>
    <row r="337" spans="1:52" x14ac:dyDescent="0.3">
      <c r="A337">
        <v>257</v>
      </c>
      <c r="B337">
        <v>60285000207</v>
      </c>
      <c r="C337" t="s">
        <v>1181</v>
      </c>
      <c r="D337" t="str">
        <f>IF(ISNUMBER(SEARCH("High",C337)), "High School","")</f>
        <v>High School</v>
      </c>
      <c r="E337">
        <v>602850</v>
      </c>
      <c r="F337" t="s">
        <v>1182</v>
      </c>
      <c r="G337" s="1">
        <v>43880</v>
      </c>
      <c r="H337" t="s">
        <v>1141</v>
      </c>
      <c r="I337">
        <v>2020</v>
      </c>
      <c r="J337" s="2">
        <v>0.39583333333333331</v>
      </c>
      <c r="K337" t="s">
        <v>90</v>
      </c>
      <c r="L337" t="s">
        <v>1183</v>
      </c>
      <c r="M337" t="s">
        <v>121</v>
      </c>
      <c r="N337" s="4">
        <v>39237836</v>
      </c>
      <c r="O337" t="s">
        <v>56</v>
      </c>
      <c r="P337">
        <v>2061</v>
      </c>
      <c r="Q337">
        <v>0</v>
      </c>
      <c r="R337">
        <v>0</v>
      </c>
      <c r="S337">
        <v>0</v>
      </c>
      <c r="T337" t="s">
        <v>70</v>
      </c>
      <c r="U337">
        <v>15</v>
      </c>
      <c r="V337" t="s">
        <v>58</v>
      </c>
      <c r="AG337">
        <v>319</v>
      </c>
      <c r="AH337">
        <v>421</v>
      </c>
      <c r="AI337">
        <v>1092</v>
      </c>
      <c r="AJ337">
        <v>103</v>
      </c>
      <c r="AK337">
        <v>14</v>
      </c>
      <c r="AL337">
        <v>32</v>
      </c>
      <c r="AM337">
        <v>80</v>
      </c>
      <c r="AN337">
        <v>0</v>
      </c>
      <c r="AQ337">
        <v>38.006300000000003</v>
      </c>
      <c r="AR337">
        <v>-121.8163</v>
      </c>
      <c r="AS337">
        <v>87.84</v>
      </c>
      <c r="AT337">
        <v>9</v>
      </c>
      <c r="AU337">
        <v>12</v>
      </c>
      <c r="AV337">
        <v>1460</v>
      </c>
      <c r="AW337" t="s">
        <v>1184</v>
      </c>
      <c r="AX337">
        <v>6</v>
      </c>
      <c r="AY337">
        <v>6013</v>
      </c>
      <c r="AZ337">
        <v>21</v>
      </c>
    </row>
    <row r="338" spans="1:52" x14ac:dyDescent="0.3">
      <c r="A338">
        <v>258</v>
      </c>
      <c r="B338" s="3">
        <v>350012000000</v>
      </c>
      <c r="C338" t="s">
        <v>1185</v>
      </c>
      <c r="D338" t="s">
        <v>1539</v>
      </c>
      <c r="E338">
        <v>3500117</v>
      </c>
      <c r="F338" t="s">
        <v>1185</v>
      </c>
      <c r="G338" s="1">
        <v>43882</v>
      </c>
      <c r="H338" t="s">
        <v>1141</v>
      </c>
      <c r="I338">
        <v>2020</v>
      </c>
      <c r="J338" s="2">
        <v>0.45833333333333331</v>
      </c>
      <c r="K338" t="s">
        <v>95</v>
      </c>
      <c r="L338" t="s">
        <v>1046</v>
      </c>
      <c r="M338" t="s">
        <v>97</v>
      </c>
      <c r="N338" s="4">
        <v>2115877</v>
      </c>
      <c r="O338" t="s">
        <v>56</v>
      </c>
      <c r="P338">
        <v>203</v>
      </c>
      <c r="Q338">
        <v>0</v>
      </c>
      <c r="R338">
        <v>0</v>
      </c>
      <c r="S338">
        <v>0</v>
      </c>
      <c r="T338" t="s">
        <v>792</v>
      </c>
      <c r="AG338">
        <v>13</v>
      </c>
      <c r="AH338">
        <v>7</v>
      </c>
      <c r="AI338">
        <v>154</v>
      </c>
      <c r="AJ338">
        <v>0</v>
      </c>
      <c r="AK338">
        <v>26</v>
      </c>
      <c r="AL338">
        <v>0</v>
      </c>
      <c r="AM338">
        <v>3</v>
      </c>
      <c r="AN338">
        <v>0</v>
      </c>
      <c r="AQ338">
        <v>35.059669</v>
      </c>
      <c r="AR338">
        <v>-106.583882</v>
      </c>
      <c r="AS338">
        <v>11.36</v>
      </c>
      <c r="AT338">
        <v>9</v>
      </c>
      <c r="AU338">
        <v>12</v>
      </c>
      <c r="AV338">
        <v>203</v>
      </c>
      <c r="AW338" t="s">
        <v>1048</v>
      </c>
      <c r="AX338">
        <v>35</v>
      </c>
      <c r="AY338">
        <v>35001</v>
      </c>
      <c r="AZ338">
        <v>11</v>
      </c>
    </row>
    <row r="339" spans="1:52" x14ac:dyDescent="0.3">
      <c r="A339">
        <v>266</v>
      </c>
      <c r="B339">
        <v>10297001160</v>
      </c>
      <c r="C339" t="s">
        <v>1212</v>
      </c>
      <c r="D339" t="str">
        <f>IF(ISNUMBER(SEARCH("High",C339)), "High School","")</f>
        <v>High School</v>
      </c>
      <c r="E339">
        <v>102970</v>
      </c>
      <c r="F339" t="s">
        <v>1213</v>
      </c>
      <c r="G339" s="1">
        <v>44287</v>
      </c>
      <c r="H339" t="s">
        <v>1188</v>
      </c>
      <c r="I339">
        <v>2021</v>
      </c>
      <c r="J339" s="2">
        <v>0.54166666666666663</v>
      </c>
      <c r="K339" t="s">
        <v>67</v>
      </c>
      <c r="L339" t="s">
        <v>1214</v>
      </c>
      <c r="M339" t="s">
        <v>614</v>
      </c>
      <c r="N339" s="4">
        <v>5039877</v>
      </c>
      <c r="O339" t="s">
        <v>56</v>
      </c>
      <c r="P339">
        <v>777</v>
      </c>
      <c r="Q339">
        <v>0</v>
      </c>
      <c r="R339">
        <v>0</v>
      </c>
      <c r="S339">
        <v>0</v>
      </c>
      <c r="T339" t="s">
        <v>70</v>
      </c>
      <c r="U339">
        <v>15</v>
      </c>
      <c r="V339" t="s">
        <v>58</v>
      </c>
      <c r="W339" t="s">
        <v>146</v>
      </c>
      <c r="AG339">
        <v>2</v>
      </c>
      <c r="AH339">
        <v>771</v>
      </c>
      <c r="AI339">
        <v>1</v>
      </c>
      <c r="AJ339">
        <v>1</v>
      </c>
      <c r="AK339">
        <v>0</v>
      </c>
      <c r="AL339">
        <v>1</v>
      </c>
      <c r="AM339">
        <v>1</v>
      </c>
      <c r="AN339">
        <v>0</v>
      </c>
      <c r="AO339" t="s">
        <v>136</v>
      </c>
      <c r="AQ339">
        <v>32.428415999999999</v>
      </c>
      <c r="AR339">
        <v>-87.022637000000003</v>
      </c>
      <c r="AS339">
        <v>39</v>
      </c>
      <c r="AT339">
        <v>7</v>
      </c>
      <c r="AU339">
        <v>12</v>
      </c>
      <c r="AV339">
        <v>662</v>
      </c>
      <c r="AW339" t="s">
        <v>208</v>
      </c>
      <c r="AX339">
        <v>1</v>
      </c>
      <c r="AY339">
        <v>1047</v>
      </c>
      <c r="AZ339">
        <v>32</v>
      </c>
    </row>
    <row r="340" spans="1:52" x14ac:dyDescent="0.3">
      <c r="A340">
        <v>268</v>
      </c>
      <c r="C340" t="s">
        <v>1206</v>
      </c>
      <c r="D340" t="str">
        <f>IF(ISNUMBER(SEARCH("High",C340)), "High School","")</f>
        <v>High School</v>
      </c>
      <c r="G340" s="1">
        <v>44259</v>
      </c>
      <c r="H340" t="s">
        <v>1188</v>
      </c>
      <c r="I340">
        <v>2021</v>
      </c>
      <c r="J340" s="2">
        <v>0.34027777777777773</v>
      </c>
      <c r="K340" t="s">
        <v>67</v>
      </c>
      <c r="L340" t="s">
        <v>1172</v>
      </c>
      <c r="M340" t="s">
        <v>589</v>
      </c>
      <c r="N340" s="4">
        <v>3605597</v>
      </c>
      <c r="O340" t="s">
        <v>216</v>
      </c>
      <c r="P340">
        <v>520</v>
      </c>
      <c r="Q340">
        <v>0</v>
      </c>
      <c r="R340">
        <v>0</v>
      </c>
      <c r="S340">
        <v>0</v>
      </c>
      <c r="T340" t="s">
        <v>792</v>
      </c>
      <c r="AN340">
        <v>0</v>
      </c>
      <c r="AQ340">
        <v>41.32981839</v>
      </c>
      <c r="AR340">
        <v>-72.935711900000001</v>
      </c>
      <c r="AX340">
        <v>9</v>
      </c>
      <c r="AY340">
        <v>9009</v>
      </c>
    </row>
    <row r="341" spans="1:52" x14ac:dyDescent="0.3">
      <c r="A341">
        <v>269</v>
      </c>
      <c r="B341">
        <v>1060127</v>
      </c>
      <c r="C341" t="s">
        <v>1211</v>
      </c>
      <c r="D341" t="str">
        <f>IF(ISNUMBER(SEARCH("High",C341)), "High School","")</f>
        <v>High School</v>
      </c>
      <c r="G341" s="1">
        <v>44264</v>
      </c>
      <c r="H341" t="s">
        <v>1188</v>
      </c>
      <c r="I341">
        <v>2021</v>
      </c>
      <c r="J341" s="2">
        <v>0.36805555555555558</v>
      </c>
      <c r="K341" t="s">
        <v>53</v>
      </c>
      <c r="L341" t="s">
        <v>918</v>
      </c>
      <c r="M341" t="s">
        <v>180</v>
      </c>
      <c r="N341" s="4">
        <v>11780017</v>
      </c>
      <c r="O341" t="s">
        <v>216</v>
      </c>
      <c r="P341">
        <v>679</v>
      </c>
      <c r="Q341">
        <v>0</v>
      </c>
      <c r="R341">
        <v>0</v>
      </c>
      <c r="S341">
        <v>0</v>
      </c>
      <c r="T341" t="s">
        <v>792</v>
      </c>
      <c r="AG341">
        <v>404</v>
      </c>
      <c r="AH341">
        <v>190</v>
      </c>
      <c r="AI341">
        <v>29</v>
      </c>
      <c r="AJ341">
        <v>10</v>
      </c>
      <c r="AK341">
        <v>0</v>
      </c>
      <c r="AL341">
        <v>0</v>
      </c>
      <c r="AM341">
        <v>46</v>
      </c>
      <c r="AN341">
        <v>0</v>
      </c>
      <c r="AQ341">
        <v>39.944969999999998</v>
      </c>
      <c r="AR341">
        <v>-82.910820999999999</v>
      </c>
      <c r="AS341">
        <v>47.3</v>
      </c>
      <c r="AT341">
        <v>9</v>
      </c>
      <c r="AU341">
        <v>12</v>
      </c>
      <c r="AW341" t="s">
        <v>919</v>
      </c>
      <c r="AX341">
        <v>39</v>
      </c>
      <c r="AY341">
        <v>39049</v>
      </c>
      <c r="AZ341">
        <v>11</v>
      </c>
    </row>
    <row r="342" spans="1:52" x14ac:dyDescent="0.3">
      <c r="A342">
        <v>270</v>
      </c>
      <c r="B342" s="3">
        <v>273178000000</v>
      </c>
      <c r="C342" t="s">
        <v>1217</v>
      </c>
      <c r="D342" t="str">
        <f>IF(ISNUMBER(SEARCH("Middle",C342)), "Middle School","")</f>
        <v>Middle School</v>
      </c>
      <c r="E342">
        <v>2731780</v>
      </c>
      <c r="F342" t="s">
        <v>1218</v>
      </c>
      <c r="G342" s="1">
        <v>44312</v>
      </c>
      <c r="H342" t="s">
        <v>1188</v>
      </c>
      <c r="I342">
        <v>2021</v>
      </c>
      <c r="J342" s="2">
        <v>0.36388888888888887</v>
      </c>
      <c r="K342" t="s">
        <v>82</v>
      </c>
      <c r="L342" t="s">
        <v>1219</v>
      </c>
      <c r="M342" t="s">
        <v>321</v>
      </c>
      <c r="N342" s="4">
        <v>5707390</v>
      </c>
      <c r="O342" t="s">
        <v>56</v>
      </c>
      <c r="P342">
        <v>1001</v>
      </c>
      <c r="Q342">
        <v>0</v>
      </c>
      <c r="R342">
        <v>0</v>
      </c>
      <c r="S342">
        <v>0</v>
      </c>
      <c r="T342" t="s">
        <v>57</v>
      </c>
      <c r="U342">
        <v>12</v>
      </c>
      <c r="V342" t="s">
        <v>58</v>
      </c>
      <c r="W342" t="s">
        <v>59</v>
      </c>
      <c r="AG342">
        <v>454</v>
      </c>
      <c r="AH342">
        <v>262</v>
      </c>
      <c r="AI342">
        <v>163</v>
      </c>
      <c r="AJ342">
        <v>35</v>
      </c>
      <c r="AK342">
        <v>5</v>
      </c>
      <c r="AL342">
        <v>0</v>
      </c>
      <c r="AM342">
        <v>82</v>
      </c>
      <c r="AN342">
        <v>0</v>
      </c>
      <c r="AO342" t="s">
        <v>136</v>
      </c>
      <c r="AP342" t="s">
        <v>1220</v>
      </c>
      <c r="AQ342">
        <v>45.020963999999999</v>
      </c>
      <c r="AR342">
        <v>-93.406233</v>
      </c>
      <c r="AS342">
        <v>36.5</v>
      </c>
      <c r="AT342">
        <v>6</v>
      </c>
      <c r="AU342">
        <v>8</v>
      </c>
      <c r="AV342">
        <v>397</v>
      </c>
      <c r="AW342" t="s">
        <v>1102</v>
      </c>
      <c r="AX342">
        <v>27</v>
      </c>
      <c r="AY342">
        <v>27053</v>
      </c>
      <c r="AZ342">
        <v>13</v>
      </c>
    </row>
    <row r="343" spans="1:52" x14ac:dyDescent="0.3">
      <c r="A343">
        <v>274</v>
      </c>
      <c r="B343" s="3">
        <v>450237000000</v>
      </c>
      <c r="C343" t="s">
        <v>1232</v>
      </c>
      <c r="D343" t="str">
        <f>IF(ISNUMBER(SEARCH("High",C343)), "High School","")</f>
        <v>High School</v>
      </c>
      <c r="E343">
        <v>4502370</v>
      </c>
      <c r="F343" t="s">
        <v>1233</v>
      </c>
      <c r="G343" s="1">
        <v>44321</v>
      </c>
      <c r="H343" t="s">
        <v>1188</v>
      </c>
      <c r="I343">
        <v>2021</v>
      </c>
      <c r="J343" s="2">
        <v>0.33333333333333331</v>
      </c>
      <c r="K343" t="s">
        <v>90</v>
      </c>
      <c r="L343" t="s">
        <v>1234</v>
      </c>
      <c r="M343" t="s">
        <v>604</v>
      </c>
      <c r="N343" s="4">
        <v>5190705</v>
      </c>
      <c r="O343" t="s">
        <v>56</v>
      </c>
      <c r="P343">
        <v>272</v>
      </c>
      <c r="Q343">
        <v>0</v>
      </c>
      <c r="R343">
        <v>0</v>
      </c>
      <c r="S343">
        <v>0</v>
      </c>
      <c r="T343" t="s">
        <v>740</v>
      </c>
      <c r="U343">
        <v>15</v>
      </c>
      <c r="V343" t="s">
        <v>58</v>
      </c>
      <c r="W343" t="s">
        <v>59</v>
      </c>
      <c r="Y343">
        <v>1</v>
      </c>
      <c r="Z343" t="s">
        <v>61</v>
      </c>
      <c r="AG343">
        <v>212</v>
      </c>
      <c r="AH343">
        <v>36</v>
      </c>
      <c r="AI343">
        <v>16</v>
      </c>
      <c r="AJ343">
        <v>0</v>
      </c>
      <c r="AK343">
        <v>0</v>
      </c>
      <c r="AL343">
        <v>0</v>
      </c>
      <c r="AM343">
        <v>8</v>
      </c>
      <c r="AN343">
        <v>0</v>
      </c>
      <c r="AO343" t="s">
        <v>136</v>
      </c>
      <c r="AP343" t="s">
        <v>1235</v>
      </c>
      <c r="AQ343">
        <v>34.393144999999997</v>
      </c>
      <c r="AR343">
        <v>-82.238602999999998</v>
      </c>
      <c r="AS343">
        <v>20</v>
      </c>
      <c r="AT343">
        <v>9</v>
      </c>
      <c r="AU343">
        <v>12</v>
      </c>
      <c r="AV343">
        <v>144</v>
      </c>
      <c r="AW343" t="s">
        <v>1236</v>
      </c>
      <c r="AX343">
        <v>45</v>
      </c>
      <c r="AY343">
        <v>45047</v>
      </c>
      <c r="AZ343">
        <v>42</v>
      </c>
    </row>
    <row r="344" spans="1:52" x14ac:dyDescent="0.3">
      <c r="A344">
        <v>277</v>
      </c>
      <c r="B344" s="3">
        <v>280456000000</v>
      </c>
      <c r="C344" t="s">
        <v>1033</v>
      </c>
      <c r="D344" t="str">
        <f>IF(ISNUMBER(SEARCH("High",C344)), "High School","")</f>
        <v>High School</v>
      </c>
      <c r="E344">
        <v>2804560</v>
      </c>
      <c r="F344" t="s">
        <v>1034</v>
      </c>
      <c r="G344" s="1">
        <v>43187</v>
      </c>
      <c r="H344" t="s">
        <v>965</v>
      </c>
      <c r="I344">
        <v>2018</v>
      </c>
      <c r="J344" s="2">
        <v>0.61111111111111105</v>
      </c>
      <c r="K344" t="s">
        <v>90</v>
      </c>
      <c r="L344" t="s">
        <v>1035</v>
      </c>
      <c r="M344" t="s">
        <v>135</v>
      </c>
      <c r="N344" s="4">
        <v>2949965</v>
      </c>
      <c r="O344" t="s">
        <v>56</v>
      </c>
      <c r="P344">
        <v>472</v>
      </c>
      <c r="Q344">
        <v>0</v>
      </c>
      <c r="R344">
        <v>0</v>
      </c>
      <c r="S344">
        <v>0</v>
      </c>
      <c r="T344" t="s">
        <v>57</v>
      </c>
      <c r="U344">
        <v>20</v>
      </c>
      <c r="V344" t="s">
        <v>58</v>
      </c>
      <c r="W344" t="s">
        <v>59</v>
      </c>
      <c r="AG344">
        <v>310</v>
      </c>
      <c r="AH344">
        <v>142</v>
      </c>
      <c r="AI344">
        <v>4</v>
      </c>
      <c r="AJ344">
        <v>0</v>
      </c>
      <c r="AK344">
        <v>0</v>
      </c>
      <c r="AL344">
        <v>0</v>
      </c>
      <c r="AM344">
        <v>16</v>
      </c>
      <c r="AN344">
        <v>0</v>
      </c>
      <c r="AO344" t="s">
        <v>327</v>
      </c>
      <c r="AQ344">
        <v>33.543140999999999</v>
      </c>
      <c r="AR344">
        <v>-89.274142999999995</v>
      </c>
      <c r="AS344">
        <v>26.59</v>
      </c>
      <c r="AT344">
        <v>6</v>
      </c>
      <c r="AU344">
        <v>12</v>
      </c>
      <c r="AV344">
        <v>313</v>
      </c>
      <c r="AW344" t="s">
        <v>1036</v>
      </c>
      <c r="AX344">
        <v>28</v>
      </c>
      <c r="AY344">
        <v>28155</v>
      </c>
      <c r="AZ344">
        <v>43</v>
      </c>
    </row>
    <row r="345" spans="1:52" x14ac:dyDescent="0.3">
      <c r="A345">
        <v>278</v>
      </c>
      <c r="B345" s="3">
        <v>261962000000</v>
      </c>
      <c r="C345" t="s">
        <v>1037</v>
      </c>
      <c r="D345" t="str">
        <f>IF(ISNUMBER(SEARCH("High",C345)), "High School","")</f>
        <v>High School</v>
      </c>
      <c r="E345">
        <v>2619620</v>
      </c>
      <c r="F345" t="s">
        <v>1038</v>
      </c>
      <c r="G345" s="1">
        <v>43209</v>
      </c>
      <c r="H345" t="s">
        <v>965</v>
      </c>
      <c r="I345">
        <v>2018</v>
      </c>
      <c r="J345" s="2">
        <v>0.57222222222222219</v>
      </c>
      <c r="K345" t="s">
        <v>67</v>
      </c>
      <c r="L345" t="s">
        <v>365</v>
      </c>
      <c r="M345" t="s">
        <v>145</v>
      </c>
      <c r="N345" s="4">
        <v>10050811</v>
      </c>
      <c r="O345" t="s">
        <v>56</v>
      </c>
      <c r="P345">
        <v>1139</v>
      </c>
      <c r="Q345">
        <v>0</v>
      </c>
      <c r="R345">
        <v>0</v>
      </c>
      <c r="S345">
        <v>0</v>
      </c>
      <c r="T345" t="s">
        <v>792</v>
      </c>
      <c r="AG345">
        <v>577</v>
      </c>
      <c r="AH345">
        <v>342</v>
      </c>
      <c r="AI345">
        <v>75</v>
      </c>
      <c r="AJ345">
        <v>33</v>
      </c>
      <c r="AK345">
        <v>3</v>
      </c>
      <c r="AL345">
        <v>2</v>
      </c>
      <c r="AM345">
        <v>107</v>
      </c>
      <c r="AN345">
        <v>0</v>
      </c>
      <c r="AO345" t="s">
        <v>136</v>
      </c>
      <c r="AQ345">
        <v>42.249899999999997</v>
      </c>
      <c r="AR345">
        <v>-84.418499999999995</v>
      </c>
      <c r="AS345">
        <v>56.04</v>
      </c>
      <c r="AT345">
        <v>9</v>
      </c>
      <c r="AU345">
        <v>12</v>
      </c>
      <c r="AV345">
        <v>693</v>
      </c>
      <c r="AW345" t="s">
        <v>798</v>
      </c>
      <c r="AX345">
        <v>26</v>
      </c>
      <c r="AY345">
        <v>26075</v>
      </c>
      <c r="AZ345">
        <v>13</v>
      </c>
    </row>
    <row r="346" spans="1:52" x14ac:dyDescent="0.3">
      <c r="A346">
        <v>279</v>
      </c>
      <c r="B346" s="3">
        <v>130012000000</v>
      </c>
      <c r="C346" t="s">
        <v>1043</v>
      </c>
      <c r="D346" t="str">
        <f>IF(ISNUMBER(SEARCH("High",C346)), "High School","")</f>
        <v>High School</v>
      </c>
      <c r="E346">
        <v>1300120</v>
      </c>
      <c r="F346" t="s">
        <v>735</v>
      </c>
      <c r="G346" s="1">
        <v>43213</v>
      </c>
      <c r="H346" t="s">
        <v>965</v>
      </c>
      <c r="I346">
        <v>2018</v>
      </c>
      <c r="J346" s="2">
        <v>0.54166666666666663</v>
      </c>
      <c r="K346" t="s">
        <v>82</v>
      </c>
      <c r="L346" t="s">
        <v>736</v>
      </c>
      <c r="M346" t="s">
        <v>77</v>
      </c>
      <c r="N346" s="4">
        <v>10799566</v>
      </c>
      <c r="O346" t="s">
        <v>56</v>
      </c>
      <c r="P346">
        <v>1256</v>
      </c>
      <c r="Q346">
        <v>0</v>
      </c>
      <c r="R346">
        <v>0</v>
      </c>
      <c r="S346">
        <v>0</v>
      </c>
      <c r="T346" t="s">
        <v>70</v>
      </c>
      <c r="U346">
        <v>19</v>
      </c>
      <c r="V346" t="s">
        <v>58</v>
      </c>
      <c r="W346" t="s">
        <v>146</v>
      </c>
      <c r="AG346">
        <v>2</v>
      </c>
      <c r="AH346">
        <v>1166</v>
      </c>
      <c r="AI346">
        <v>80</v>
      </c>
      <c r="AJ346">
        <v>0</v>
      </c>
      <c r="AK346">
        <v>2</v>
      </c>
      <c r="AL346">
        <v>0</v>
      </c>
      <c r="AM346">
        <v>6</v>
      </c>
      <c r="AN346">
        <v>0</v>
      </c>
      <c r="AQ346">
        <v>33.733899999999998</v>
      </c>
      <c r="AR346">
        <v>-84.503799999999998</v>
      </c>
      <c r="AS346">
        <v>85.7</v>
      </c>
      <c r="AT346">
        <v>9</v>
      </c>
      <c r="AU346">
        <v>12</v>
      </c>
      <c r="AV346">
        <v>987</v>
      </c>
      <c r="AW346" t="s">
        <v>738</v>
      </c>
      <c r="AX346">
        <v>13</v>
      </c>
      <c r="AY346">
        <v>13121</v>
      </c>
      <c r="AZ346">
        <v>11</v>
      </c>
    </row>
    <row r="347" spans="1:52" x14ac:dyDescent="0.3">
      <c r="A347">
        <v>280</v>
      </c>
      <c r="B347" s="3">
        <v>370297000000</v>
      </c>
      <c r="C347" t="s">
        <v>1072</v>
      </c>
      <c r="D347" t="str">
        <f>IF(ISNUMBER(SEARCH("Elementary",C347)), "Elementary School","")</f>
        <v>Elementary School</v>
      </c>
      <c r="E347">
        <v>3702970</v>
      </c>
      <c r="F347" t="s">
        <v>337</v>
      </c>
      <c r="G347" s="1">
        <v>43367</v>
      </c>
      <c r="H347" t="s">
        <v>1065</v>
      </c>
      <c r="I347">
        <v>2018</v>
      </c>
      <c r="J347" s="2">
        <v>0.375</v>
      </c>
      <c r="K347" t="s">
        <v>82</v>
      </c>
      <c r="L347" t="s">
        <v>338</v>
      </c>
      <c r="M347" t="s">
        <v>326</v>
      </c>
      <c r="N347" s="4">
        <v>10551162</v>
      </c>
      <c r="O347" t="s">
        <v>56</v>
      </c>
      <c r="P347">
        <v>860</v>
      </c>
      <c r="Q347">
        <v>0</v>
      </c>
      <c r="R347">
        <v>0</v>
      </c>
      <c r="S347">
        <v>0</v>
      </c>
      <c r="T347" t="s">
        <v>70</v>
      </c>
      <c r="U347">
        <v>24</v>
      </c>
      <c r="V347" t="s">
        <v>58</v>
      </c>
      <c r="W347" t="s">
        <v>146</v>
      </c>
      <c r="AG347">
        <v>27</v>
      </c>
      <c r="AH347">
        <v>292</v>
      </c>
      <c r="AI347">
        <v>423</v>
      </c>
      <c r="AJ347">
        <v>92</v>
      </c>
      <c r="AK347">
        <v>0</v>
      </c>
      <c r="AL347">
        <v>1</v>
      </c>
      <c r="AM347">
        <v>25</v>
      </c>
      <c r="AN347">
        <v>0</v>
      </c>
      <c r="AQ347">
        <v>35.225991</v>
      </c>
      <c r="AR347">
        <v>-80.743914000000004</v>
      </c>
      <c r="AS347">
        <v>45.27</v>
      </c>
      <c r="AT347" t="s">
        <v>130</v>
      </c>
      <c r="AU347">
        <v>5</v>
      </c>
      <c r="AV347">
        <v>857</v>
      </c>
      <c r="AW347" t="s">
        <v>339</v>
      </c>
      <c r="AX347">
        <v>37</v>
      </c>
      <c r="AY347">
        <v>37119</v>
      </c>
      <c r="AZ347">
        <v>11</v>
      </c>
    </row>
    <row r="348" spans="1:52" x14ac:dyDescent="0.3">
      <c r="A348">
        <v>281</v>
      </c>
      <c r="B348" s="3">
        <v>272124000000</v>
      </c>
      <c r="C348" t="s">
        <v>1099</v>
      </c>
      <c r="D348" t="str">
        <f>IF(ISNUMBER(SEARCH("High",C348)), "High School","")</f>
        <v>High School</v>
      </c>
      <c r="E348">
        <v>2721240</v>
      </c>
      <c r="F348" t="s">
        <v>1100</v>
      </c>
      <c r="G348" s="1">
        <v>43481</v>
      </c>
      <c r="H348" t="s">
        <v>1065</v>
      </c>
      <c r="I348">
        <v>2019</v>
      </c>
      <c r="J348" s="2">
        <v>0.52083333333333337</v>
      </c>
      <c r="K348" t="s">
        <v>90</v>
      </c>
      <c r="L348" t="s">
        <v>1101</v>
      </c>
      <c r="M348" t="s">
        <v>321</v>
      </c>
      <c r="N348" s="4">
        <v>5707390</v>
      </c>
      <c r="O348" t="s">
        <v>56</v>
      </c>
      <c r="P348">
        <v>382</v>
      </c>
      <c r="Q348">
        <v>0</v>
      </c>
      <c r="R348">
        <v>0</v>
      </c>
      <c r="S348">
        <v>0</v>
      </c>
      <c r="T348" t="s">
        <v>792</v>
      </c>
      <c r="AG348">
        <v>6</v>
      </c>
      <c r="AH348">
        <v>339</v>
      </c>
      <c r="AI348">
        <v>15</v>
      </c>
      <c r="AJ348">
        <v>6</v>
      </c>
      <c r="AK348">
        <v>7</v>
      </c>
      <c r="AL348">
        <v>1</v>
      </c>
      <c r="AM348">
        <v>8</v>
      </c>
      <c r="AN348">
        <v>0</v>
      </c>
      <c r="AQ348">
        <v>44.994016999999999</v>
      </c>
      <c r="AR348">
        <v>-93.300234000000003</v>
      </c>
      <c r="AS348">
        <v>49.28</v>
      </c>
      <c r="AT348">
        <v>9</v>
      </c>
      <c r="AU348">
        <v>12</v>
      </c>
      <c r="AV348">
        <v>276</v>
      </c>
      <c r="AW348" t="s">
        <v>1102</v>
      </c>
      <c r="AX348">
        <v>27</v>
      </c>
      <c r="AY348">
        <v>27053</v>
      </c>
      <c r="AZ348">
        <v>11</v>
      </c>
    </row>
    <row r="349" spans="1:52" x14ac:dyDescent="0.3">
      <c r="A349">
        <v>282</v>
      </c>
      <c r="B349">
        <v>63384005261</v>
      </c>
      <c r="C349" t="s">
        <v>1125</v>
      </c>
      <c r="D349" t="s">
        <v>1542</v>
      </c>
      <c r="E349">
        <v>633840</v>
      </c>
      <c r="F349" t="s">
        <v>1126</v>
      </c>
      <c r="G349" s="1">
        <v>43558</v>
      </c>
      <c r="H349" t="s">
        <v>1065</v>
      </c>
      <c r="I349">
        <v>2019</v>
      </c>
      <c r="J349" s="2">
        <v>0.57291666666666663</v>
      </c>
      <c r="K349" t="s">
        <v>90</v>
      </c>
      <c r="L349" t="s">
        <v>331</v>
      </c>
      <c r="M349" t="s">
        <v>121</v>
      </c>
      <c r="N349" s="4">
        <v>39237836</v>
      </c>
      <c r="O349" t="s">
        <v>56</v>
      </c>
      <c r="P349">
        <v>370</v>
      </c>
      <c r="Q349">
        <v>0</v>
      </c>
      <c r="R349">
        <v>0</v>
      </c>
      <c r="S349">
        <v>0</v>
      </c>
      <c r="T349" t="s">
        <v>792</v>
      </c>
      <c r="AG349">
        <v>38</v>
      </c>
      <c r="AH349">
        <v>38</v>
      </c>
      <c r="AI349">
        <v>194</v>
      </c>
      <c r="AJ349">
        <v>17</v>
      </c>
      <c r="AK349">
        <v>2</v>
      </c>
      <c r="AL349">
        <v>1</v>
      </c>
      <c r="AM349">
        <v>17</v>
      </c>
      <c r="AN349">
        <v>0</v>
      </c>
      <c r="AQ349">
        <v>38.533299999999997</v>
      </c>
      <c r="AR349">
        <v>-121.4182</v>
      </c>
      <c r="AS349">
        <v>12.5</v>
      </c>
      <c r="AT349" t="s">
        <v>124</v>
      </c>
      <c r="AU349">
        <v>6</v>
      </c>
      <c r="AV349">
        <v>253</v>
      </c>
      <c r="AW349" t="s">
        <v>335</v>
      </c>
      <c r="AX349">
        <v>6</v>
      </c>
      <c r="AY349">
        <v>6067</v>
      </c>
      <c r="AZ349">
        <v>11</v>
      </c>
    </row>
    <row r="350" spans="1:52" x14ac:dyDescent="0.3">
      <c r="A350">
        <v>283</v>
      </c>
      <c r="B350" s="3">
        <v>260112000000</v>
      </c>
      <c r="C350" t="s">
        <v>1128</v>
      </c>
      <c r="D350" t="str">
        <f>IF(ISNUMBER(SEARCH("High",C350)), "High School","")</f>
        <v>High School</v>
      </c>
      <c r="E350">
        <v>2601117</v>
      </c>
      <c r="F350" t="s">
        <v>1129</v>
      </c>
      <c r="G350" s="1">
        <v>43572</v>
      </c>
      <c r="H350" t="s">
        <v>1065</v>
      </c>
      <c r="I350">
        <v>2019</v>
      </c>
      <c r="J350" s="2">
        <v>0.41666666666666669</v>
      </c>
      <c r="K350" t="s">
        <v>90</v>
      </c>
      <c r="L350" t="s">
        <v>1130</v>
      </c>
      <c r="M350" t="s">
        <v>145</v>
      </c>
      <c r="N350" s="4">
        <v>10050811</v>
      </c>
      <c r="O350" t="s">
        <v>56</v>
      </c>
      <c r="P350">
        <v>120</v>
      </c>
      <c r="Q350">
        <v>0</v>
      </c>
      <c r="R350">
        <v>0</v>
      </c>
      <c r="S350">
        <v>0</v>
      </c>
      <c r="T350" t="s">
        <v>70</v>
      </c>
      <c r="U350">
        <v>16</v>
      </c>
      <c r="X350" t="s">
        <v>60</v>
      </c>
      <c r="Y350">
        <v>0</v>
      </c>
      <c r="AG350">
        <v>9</v>
      </c>
      <c r="AH350">
        <v>106</v>
      </c>
      <c r="AI350">
        <v>2</v>
      </c>
      <c r="AJ350">
        <v>0</v>
      </c>
      <c r="AK350">
        <v>0</v>
      </c>
      <c r="AL350">
        <v>0</v>
      </c>
      <c r="AM350">
        <v>3</v>
      </c>
      <c r="AN350">
        <v>0</v>
      </c>
      <c r="AQ350">
        <v>43.059497</v>
      </c>
      <c r="AR350">
        <v>-83.735159999999993</v>
      </c>
      <c r="AS350">
        <v>3</v>
      </c>
      <c r="AT350">
        <v>9</v>
      </c>
      <c r="AU350">
        <v>12</v>
      </c>
      <c r="AV350">
        <v>117</v>
      </c>
      <c r="AW350" t="s">
        <v>149</v>
      </c>
      <c r="AX350">
        <v>26</v>
      </c>
      <c r="AY350">
        <v>26049</v>
      </c>
      <c r="AZ350">
        <v>13</v>
      </c>
    </row>
    <row r="351" spans="1:52" x14ac:dyDescent="0.3">
      <c r="A351">
        <v>291</v>
      </c>
      <c r="B351" s="3">
        <v>470369000000</v>
      </c>
      <c r="C351" t="s">
        <v>1258</v>
      </c>
      <c r="D351" t="str">
        <f>IF(ISNUMBER(SEARCH("High",C351)), "High School","")</f>
        <v>High School</v>
      </c>
      <c r="E351">
        <v>4703690</v>
      </c>
      <c r="F351" t="s">
        <v>1259</v>
      </c>
      <c r="G351" s="1">
        <v>44446</v>
      </c>
      <c r="H351" t="s">
        <v>1243</v>
      </c>
      <c r="I351">
        <v>2021</v>
      </c>
      <c r="J351" s="2">
        <v>0.64583333333333337</v>
      </c>
      <c r="K351" t="s">
        <v>53</v>
      </c>
      <c r="L351" t="s">
        <v>1260</v>
      </c>
      <c r="M351" t="s">
        <v>377</v>
      </c>
      <c r="N351" s="4">
        <v>6975218</v>
      </c>
      <c r="O351" t="s">
        <v>56</v>
      </c>
      <c r="P351">
        <v>1910</v>
      </c>
      <c r="Q351">
        <v>0</v>
      </c>
      <c r="R351">
        <v>0</v>
      </c>
      <c r="S351">
        <v>0</v>
      </c>
      <c r="T351" t="s">
        <v>70</v>
      </c>
      <c r="U351">
        <v>15</v>
      </c>
      <c r="V351" t="s">
        <v>58</v>
      </c>
      <c r="AG351">
        <v>474</v>
      </c>
      <c r="AH351">
        <v>608</v>
      </c>
      <c r="AI351">
        <v>702</v>
      </c>
      <c r="AJ351">
        <v>66</v>
      </c>
      <c r="AK351">
        <v>4</v>
      </c>
      <c r="AL351">
        <v>4</v>
      </c>
      <c r="AM351">
        <v>52</v>
      </c>
      <c r="AN351">
        <v>0</v>
      </c>
      <c r="AQ351">
        <v>35.988700000000001</v>
      </c>
      <c r="AR351">
        <v>-86.559700000000007</v>
      </c>
      <c r="AS351">
        <v>115.1</v>
      </c>
      <c r="AT351">
        <v>9</v>
      </c>
      <c r="AU351">
        <v>12</v>
      </c>
      <c r="AV351">
        <v>1150</v>
      </c>
      <c r="AW351" t="s">
        <v>1259</v>
      </c>
      <c r="AX351">
        <v>47</v>
      </c>
      <c r="AY351">
        <v>47149</v>
      </c>
      <c r="AZ351">
        <v>21</v>
      </c>
    </row>
    <row r="352" spans="1:52" x14ac:dyDescent="0.3">
      <c r="A352">
        <v>292</v>
      </c>
      <c r="B352" s="3">
        <v>261428000000</v>
      </c>
      <c r="C352" t="s">
        <v>1261</v>
      </c>
      <c r="D352" t="s">
        <v>1539</v>
      </c>
      <c r="E352">
        <v>2614280</v>
      </c>
      <c r="F352" t="s">
        <v>1262</v>
      </c>
      <c r="G352" s="1">
        <v>44447</v>
      </c>
      <c r="H352" t="s">
        <v>1243</v>
      </c>
      <c r="I352">
        <v>2021</v>
      </c>
      <c r="J352" s="2">
        <v>0.60416666666666663</v>
      </c>
      <c r="K352" t="s">
        <v>90</v>
      </c>
      <c r="L352" t="s">
        <v>1263</v>
      </c>
      <c r="M352" t="s">
        <v>145</v>
      </c>
      <c r="N352" s="4">
        <v>10050811</v>
      </c>
      <c r="O352" t="s">
        <v>56</v>
      </c>
      <c r="P352">
        <v>360</v>
      </c>
      <c r="Q352">
        <v>0</v>
      </c>
      <c r="R352">
        <v>0</v>
      </c>
      <c r="S352">
        <v>0</v>
      </c>
      <c r="T352" t="s">
        <v>70</v>
      </c>
      <c r="V352" t="s">
        <v>58</v>
      </c>
      <c r="AG352">
        <v>29</v>
      </c>
      <c r="AH352">
        <v>319</v>
      </c>
      <c r="AI352">
        <v>4</v>
      </c>
      <c r="AJ352">
        <v>2</v>
      </c>
      <c r="AK352">
        <v>0</v>
      </c>
      <c r="AL352">
        <v>0</v>
      </c>
      <c r="AM352">
        <v>6</v>
      </c>
      <c r="AN352">
        <v>0</v>
      </c>
      <c r="AQ352">
        <v>42.450386000000002</v>
      </c>
      <c r="AR352">
        <v>-83.159362000000002</v>
      </c>
      <c r="AS352">
        <v>6.48</v>
      </c>
      <c r="AT352">
        <v>9</v>
      </c>
      <c r="AU352">
        <v>12</v>
      </c>
      <c r="AV352">
        <v>262</v>
      </c>
      <c r="AW352" t="s">
        <v>1264</v>
      </c>
      <c r="AX352">
        <v>26</v>
      </c>
      <c r="AY352">
        <v>26125</v>
      </c>
      <c r="AZ352">
        <v>21</v>
      </c>
    </row>
    <row r="353" spans="1:52" x14ac:dyDescent="0.3">
      <c r="A353">
        <v>299</v>
      </c>
      <c r="B353">
        <v>50900000607</v>
      </c>
      <c r="C353" t="s">
        <v>1278</v>
      </c>
      <c r="D353" t="str">
        <f>IF(ISNUMBER(SEARCH("High",C353)), "High School","")</f>
        <v>High School</v>
      </c>
      <c r="E353">
        <v>509000</v>
      </c>
      <c r="F353" t="s">
        <v>1279</v>
      </c>
      <c r="G353" s="1">
        <v>44481</v>
      </c>
      <c r="H353" t="s">
        <v>1243</v>
      </c>
      <c r="I353">
        <v>2021</v>
      </c>
      <c r="J353" s="2">
        <v>0.4770833333333333</v>
      </c>
      <c r="K353" t="s">
        <v>53</v>
      </c>
      <c r="L353" t="s">
        <v>1280</v>
      </c>
      <c r="M353" t="s">
        <v>884</v>
      </c>
      <c r="N353" s="4">
        <v>3025891</v>
      </c>
      <c r="O353" t="s">
        <v>56</v>
      </c>
      <c r="P353">
        <v>2430</v>
      </c>
      <c r="Q353">
        <v>0</v>
      </c>
      <c r="R353">
        <v>0</v>
      </c>
      <c r="S353">
        <v>0</v>
      </c>
      <c r="T353" t="s">
        <v>792</v>
      </c>
      <c r="AG353">
        <v>785</v>
      </c>
      <c r="AH353">
        <v>1254</v>
      </c>
      <c r="AI353">
        <v>155</v>
      </c>
      <c r="AJ353">
        <v>201</v>
      </c>
      <c r="AK353">
        <v>18</v>
      </c>
      <c r="AL353">
        <v>0</v>
      </c>
      <c r="AM353">
        <v>17</v>
      </c>
      <c r="AN353">
        <v>0</v>
      </c>
      <c r="AQ353">
        <v>34.736826999999998</v>
      </c>
      <c r="AR353">
        <v>-92.298953999999995</v>
      </c>
      <c r="AS353">
        <v>167.63</v>
      </c>
      <c r="AT353">
        <v>9</v>
      </c>
      <c r="AU353">
        <v>12</v>
      </c>
      <c r="AV353">
        <v>1188</v>
      </c>
      <c r="AW353" t="s">
        <v>1281</v>
      </c>
      <c r="AX353">
        <v>5</v>
      </c>
      <c r="AY353">
        <v>5119</v>
      </c>
      <c r="AZ353">
        <v>12</v>
      </c>
    </row>
    <row r="354" spans="1:52" x14ac:dyDescent="0.3">
      <c r="A354">
        <v>300</v>
      </c>
      <c r="B354" s="3">
        <v>170993000000</v>
      </c>
      <c r="C354" t="s">
        <v>1283</v>
      </c>
      <c r="D354" t="s">
        <v>1542</v>
      </c>
      <c r="E354">
        <v>1709930</v>
      </c>
      <c r="F354" t="s">
        <v>407</v>
      </c>
      <c r="G354" s="1">
        <v>44482</v>
      </c>
      <c r="H354" t="s">
        <v>1243</v>
      </c>
      <c r="I354">
        <v>2021</v>
      </c>
      <c r="J354" s="2">
        <v>0.35972222222222222</v>
      </c>
      <c r="K354" t="s">
        <v>90</v>
      </c>
      <c r="L354" t="s">
        <v>128</v>
      </c>
      <c r="M354" t="s">
        <v>129</v>
      </c>
      <c r="N354" s="4">
        <v>12671469</v>
      </c>
      <c r="O354" t="s">
        <v>56</v>
      </c>
      <c r="P354">
        <v>176</v>
      </c>
      <c r="Q354">
        <v>0</v>
      </c>
      <c r="R354">
        <v>0</v>
      </c>
      <c r="S354">
        <v>0</v>
      </c>
      <c r="T354" t="s">
        <v>70</v>
      </c>
      <c r="AG354">
        <v>2</v>
      </c>
      <c r="AH354">
        <v>162</v>
      </c>
      <c r="AI354">
        <v>1</v>
      </c>
      <c r="AJ354">
        <v>4</v>
      </c>
      <c r="AK354">
        <v>0</v>
      </c>
      <c r="AL354">
        <v>0</v>
      </c>
      <c r="AM354">
        <v>7</v>
      </c>
      <c r="AN354">
        <v>0</v>
      </c>
      <c r="AQ354">
        <v>41.734400000000001</v>
      </c>
      <c r="AR354">
        <v>-87.618799999999993</v>
      </c>
      <c r="AS354">
        <v>10</v>
      </c>
      <c r="AT354" t="s">
        <v>124</v>
      </c>
      <c r="AU354">
        <v>6</v>
      </c>
      <c r="AV354">
        <v>47</v>
      </c>
      <c r="AW354" t="s">
        <v>131</v>
      </c>
      <c r="AX354">
        <v>17</v>
      </c>
      <c r="AY354">
        <v>17031</v>
      </c>
      <c r="AZ354">
        <v>11</v>
      </c>
    </row>
    <row r="355" spans="1:52" x14ac:dyDescent="0.3">
      <c r="A355">
        <v>301</v>
      </c>
      <c r="B355">
        <v>734676</v>
      </c>
      <c r="C355" t="s">
        <v>1284</v>
      </c>
      <c r="D355" t="s">
        <v>1542</v>
      </c>
      <c r="G355" s="1">
        <v>44495</v>
      </c>
      <c r="H355" t="s">
        <v>1243</v>
      </c>
      <c r="I355">
        <v>2021</v>
      </c>
      <c r="J355" s="2">
        <v>0.3888888888888889</v>
      </c>
      <c r="K355" t="s">
        <v>53</v>
      </c>
      <c r="L355" t="s">
        <v>1285</v>
      </c>
      <c r="M355" t="s">
        <v>135</v>
      </c>
      <c r="N355" s="4">
        <v>2949965</v>
      </c>
      <c r="O355" t="s">
        <v>216</v>
      </c>
      <c r="P355">
        <v>665</v>
      </c>
      <c r="Q355">
        <v>0</v>
      </c>
      <c r="R355">
        <v>0</v>
      </c>
      <c r="S355">
        <v>0</v>
      </c>
      <c r="T355" t="s">
        <v>792</v>
      </c>
      <c r="AG355">
        <v>499</v>
      </c>
      <c r="AH355">
        <v>82</v>
      </c>
      <c r="AI355">
        <v>9</v>
      </c>
      <c r="AJ355">
        <v>2</v>
      </c>
      <c r="AK355">
        <v>0</v>
      </c>
      <c r="AL355">
        <v>0</v>
      </c>
      <c r="AM355">
        <v>4</v>
      </c>
      <c r="AN355">
        <v>0</v>
      </c>
      <c r="AQ355">
        <v>31.562163000000002</v>
      </c>
      <c r="AR355">
        <v>-91.394805000000005</v>
      </c>
      <c r="AS355">
        <v>52.5</v>
      </c>
      <c r="AT355" t="s">
        <v>130</v>
      </c>
      <c r="AU355">
        <v>12</v>
      </c>
      <c r="AW355" t="s">
        <v>293</v>
      </c>
      <c r="AX355">
        <v>28</v>
      </c>
      <c r="AY355">
        <v>28001</v>
      </c>
      <c r="AZ355">
        <v>33</v>
      </c>
    </row>
    <row r="356" spans="1:52" x14ac:dyDescent="0.3">
      <c r="A356">
        <v>306</v>
      </c>
      <c r="B356" s="3">
        <v>362376000000</v>
      </c>
      <c r="C356" t="s">
        <v>1286</v>
      </c>
      <c r="D356" t="str">
        <f>IF(ISNUMBER(SEARCH("High",C356)), "High School","")</f>
        <v>High School</v>
      </c>
      <c r="E356">
        <v>3623760</v>
      </c>
      <c r="F356" t="s">
        <v>1287</v>
      </c>
      <c r="G356" s="1">
        <v>44515</v>
      </c>
      <c r="H356" t="s">
        <v>1243</v>
      </c>
      <c r="I356">
        <v>2021</v>
      </c>
      <c r="J356" s="2">
        <v>0.63541666666666663</v>
      </c>
      <c r="K356" t="s">
        <v>82</v>
      </c>
      <c r="L356" t="s">
        <v>1288</v>
      </c>
      <c r="M356" t="s">
        <v>263</v>
      </c>
      <c r="N356" s="4">
        <v>19835913</v>
      </c>
      <c r="O356" t="s">
        <v>56</v>
      </c>
      <c r="P356">
        <v>1153</v>
      </c>
      <c r="Q356">
        <v>0</v>
      </c>
      <c r="R356">
        <v>0</v>
      </c>
      <c r="S356">
        <v>0</v>
      </c>
      <c r="T356" t="s">
        <v>70</v>
      </c>
      <c r="U356">
        <v>13</v>
      </c>
      <c r="V356" t="s">
        <v>58</v>
      </c>
      <c r="X356" t="s">
        <v>60</v>
      </c>
      <c r="AG356">
        <v>72</v>
      </c>
      <c r="AH356">
        <v>612</v>
      </c>
      <c r="AI356">
        <v>413</v>
      </c>
      <c r="AJ356">
        <v>7</v>
      </c>
      <c r="AK356">
        <v>3</v>
      </c>
      <c r="AL356">
        <v>6</v>
      </c>
      <c r="AM356">
        <v>40</v>
      </c>
      <c r="AN356">
        <v>0</v>
      </c>
      <c r="AO356" t="s">
        <v>254</v>
      </c>
      <c r="AQ356">
        <v>41.694800000000001</v>
      </c>
      <c r="AR356">
        <v>-73.913799999999995</v>
      </c>
      <c r="AS356">
        <v>102.83</v>
      </c>
      <c r="AT356">
        <v>9</v>
      </c>
      <c r="AU356">
        <v>12</v>
      </c>
      <c r="AV356">
        <v>865</v>
      </c>
      <c r="AW356" t="s">
        <v>1289</v>
      </c>
      <c r="AX356">
        <v>36</v>
      </c>
      <c r="AY356">
        <v>36027</v>
      </c>
      <c r="AZ356">
        <v>13</v>
      </c>
    </row>
    <row r="357" spans="1:52" x14ac:dyDescent="0.3">
      <c r="A357">
        <v>307</v>
      </c>
      <c r="B357" s="3">
        <v>360009000000</v>
      </c>
      <c r="C357" t="s">
        <v>1290</v>
      </c>
      <c r="D357" t="s">
        <v>1542</v>
      </c>
      <c r="E357">
        <v>3600090</v>
      </c>
      <c r="F357" t="s">
        <v>1291</v>
      </c>
      <c r="G357" s="1">
        <v>44516</v>
      </c>
      <c r="H357" t="s">
        <v>1243</v>
      </c>
      <c r="I357">
        <v>2021</v>
      </c>
      <c r="J357" s="2">
        <v>0.59375</v>
      </c>
      <c r="K357" t="s">
        <v>53</v>
      </c>
      <c r="L357" t="s">
        <v>1292</v>
      </c>
      <c r="M357" t="s">
        <v>263</v>
      </c>
      <c r="N357" s="4">
        <v>19835913</v>
      </c>
      <c r="O357" t="s">
        <v>56</v>
      </c>
      <c r="P357">
        <v>263</v>
      </c>
      <c r="Q357">
        <v>0</v>
      </c>
      <c r="R357">
        <v>0</v>
      </c>
      <c r="S357">
        <v>0</v>
      </c>
      <c r="T357" t="s">
        <v>792</v>
      </c>
      <c r="U357">
        <v>45</v>
      </c>
      <c r="V357" t="s">
        <v>58</v>
      </c>
      <c r="AG357">
        <v>4</v>
      </c>
      <c r="AH357">
        <v>83</v>
      </c>
      <c r="AI357">
        <v>174</v>
      </c>
      <c r="AJ357">
        <v>0</v>
      </c>
      <c r="AK357">
        <v>1</v>
      </c>
      <c r="AL357">
        <v>1</v>
      </c>
      <c r="AM357">
        <v>0</v>
      </c>
      <c r="AN357">
        <v>0</v>
      </c>
      <c r="AO357" t="s">
        <v>136</v>
      </c>
      <c r="AQ357">
        <v>40.842500000000001</v>
      </c>
      <c r="AR357">
        <v>-73.891000000000005</v>
      </c>
      <c r="AS357">
        <v>25</v>
      </c>
      <c r="AT357" t="s">
        <v>130</v>
      </c>
      <c r="AU357">
        <v>5</v>
      </c>
      <c r="AV357">
        <v>258</v>
      </c>
      <c r="AW357" t="s">
        <v>1293</v>
      </c>
      <c r="AX357">
        <v>36</v>
      </c>
      <c r="AY357">
        <v>36005</v>
      </c>
      <c r="AZ357">
        <v>11</v>
      </c>
    </row>
    <row r="358" spans="1:52" x14ac:dyDescent="0.3">
      <c r="A358">
        <v>308</v>
      </c>
      <c r="B358" s="3">
        <v>173897000000</v>
      </c>
      <c r="C358" t="s">
        <v>1297</v>
      </c>
      <c r="D358" t="str">
        <f>IF(ISNUMBER(SEARCH("High",C358)), "High School","")</f>
        <v>High School</v>
      </c>
      <c r="E358">
        <v>1738970</v>
      </c>
      <c r="F358" t="s">
        <v>1298</v>
      </c>
      <c r="G358" s="1">
        <v>44524</v>
      </c>
      <c r="H358" t="s">
        <v>1243</v>
      </c>
      <c r="I358">
        <v>2021</v>
      </c>
      <c r="J358" s="2">
        <v>0.625</v>
      </c>
      <c r="K358" t="s">
        <v>90</v>
      </c>
      <c r="L358" t="s">
        <v>1299</v>
      </c>
      <c r="M358" t="s">
        <v>129</v>
      </c>
      <c r="N358" s="4">
        <v>12671469</v>
      </c>
      <c r="O358" t="s">
        <v>56</v>
      </c>
      <c r="P358">
        <v>1569</v>
      </c>
      <c r="Q358">
        <v>0</v>
      </c>
      <c r="R358">
        <v>0</v>
      </c>
      <c r="S358">
        <v>0</v>
      </c>
      <c r="T358" t="s">
        <v>70</v>
      </c>
      <c r="AG358">
        <v>3</v>
      </c>
      <c r="AH358">
        <v>1126</v>
      </c>
      <c r="AI358">
        <v>406</v>
      </c>
      <c r="AJ358">
        <v>24</v>
      </c>
      <c r="AK358">
        <v>4</v>
      </c>
      <c r="AL358">
        <v>1</v>
      </c>
      <c r="AM358">
        <v>5</v>
      </c>
      <c r="AN358">
        <v>0</v>
      </c>
      <c r="AQ358">
        <v>41.616059999999997</v>
      </c>
      <c r="AR358">
        <v>-87.643733999999995</v>
      </c>
      <c r="AS358">
        <v>116</v>
      </c>
      <c r="AT358">
        <v>9</v>
      </c>
      <c r="AU358">
        <v>12</v>
      </c>
      <c r="AV358">
        <v>992</v>
      </c>
      <c r="AW358" t="s">
        <v>131</v>
      </c>
      <c r="AX358">
        <v>17</v>
      </c>
      <c r="AY358">
        <v>17031</v>
      </c>
      <c r="AZ358">
        <v>21</v>
      </c>
    </row>
    <row r="359" spans="1:52" x14ac:dyDescent="0.3">
      <c r="A359">
        <v>309</v>
      </c>
      <c r="B359" s="3">
        <v>483432000000</v>
      </c>
      <c r="C359" t="s">
        <v>1306</v>
      </c>
      <c r="D359" t="str">
        <f>IF(ISNUMBER(SEARCH("High",C359)), "High School","")</f>
        <v>High School</v>
      </c>
      <c r="E359">
        <v>4834320</v>
      </c>
      <c r="F359" t="s">
        <v>1307</v>
      </c>
      <c r="G359" s="1">
        <v>44531</v>
      </c>
      <c r="H359" t="s">
        <v>1243</v>
      </c>
      <c r="I359">
        <v>2021</v>
      </c>
      <c r="J359" s="2">
        <v>0.95833333333333337</v>
      </c>
      <c r="K359" t="s">
        <v>90</v>
      </c>
      <c r="L359" t="s">
        <v>1308</v>
      </c>
      <c r="M359" t="s">
        <v>205</v>
      </c>
      <c r="N359" s="4">
        <v>29527941</v>
      </c>
      <c r="O359" t="s">
        <v>56</v>
      </c>
      <c r="P359">
        <v>2724</v>
      </c>
      <c r="Q359">
        <v>0</v>
      </c>
      <c r="R359">
        <v>0</v>
      </c>
      <c r="S359">
        <v>0</v>
      </c>
      <c r="T359" t="s">
        <v>70</v>
      </c>
      <c r="U359">
        <v>21</v>
      </c>
      <c r="V359" t="s">
        <v>58</v>
      </c>
      <c r="AG359">
        <v>130</v>
      </c>
      <c r="AH359">
        <v>84</v>
      </c>
      <c r="AI359">
        <v>2482</v>
      </c>
      <c r="AJ359">
        <v>10</v>
      </c>
      <c r="AK359">
        <v>4</v>
      </c>
      <c r="AL359">
        <v>0</v>
      </c>
      <c r="AM359">
        <v>14</v>
      </c>
      <c r="AN359">
        <v>0</v>
      </c>
      <c r="AQ359">
        <v>29.678303</v>
      </c>
      <c r="AR359">
        <v>-95.182323999999994</v>
      </c>
      <c r="AS359">
        <v>175.78</v>
      </c>
      <c r="AT359">
        <v>9</v>
      </c>
      <c r="AU359">
        <v>12</v>
      </c>
      <c r="AV359">
        <v>2210</v>
      </c>
      <c r="AW359" t="s">
        <v>668</v>
      </c>
      <c r="AX359">
        <v>48</v>
      </c>
      <c r="AY359">
        <v>48201</v>
      </c>
      <c r="AZ359">
        <v>21</v>
      </c>
    </row>
    <row r="360" spans="1:52" x14ac:dyDescent="0.3">
      <c r="A360">
        <v>310</v>
      </c>
      <c r="B360" s="3">
        <v>360109000000</v>
      </c>
      <c r="C360" t="s">
        <v>1309</v>
      </c>
      <c r="D360" t="s">
        <v>1542</v>
      </c>
      <c r="E360">
        <v>3601085</v>
      </c>
      <c r="F360" t="s">
        <v>1309</v>
      </c>
      <c r="G360" s="1">
        <v>44539</v>
      </c>
      <c r="H360" t="s">
        <v>1243</v>
      </c>
      <c r="I360">
        <v>2021</v>
      </c>
      <c r="J360" s="2">
        <v>0.39583333333333331</v>
      </c>
      <c r="K360" t="s">
        <v>67</v>
      </c>
      <c r="L360" t="s">
        <v>263</v>
      </c>
      <c r="M360" t="s">
        <v>263</v>
      </c>
      <c r="N360" s="4">
        <v>19835913</v>
      </c>
      <c r="O360" t="s">
        <v>56</v>
      </c>
      <c r="P360">
        <v>299</v>
      </c>
      <c r="Q360">
        <v>0</v>
      </c>
      <c r="R360">
        <v>0</v>
      </c>
      <c r="S360">
        <v>0</v>
      </c>
      <c r="T360" t="s">
        <v>792</v>
      </c>
      <c r="AG360">
        <v>9</v>
      </c>
      <c r="AH360">
        <v>92</v>
      </c>
      <c r="AI360">
        <v>179</v>
      </c>
      <c r="AJ360">
        <v>11</v>
      </c>
      <c r="AK360">
        <v>2</v>
      </c>
      <c r="AL360">
        <v>0</v>
      </c>
      <c r="AM360">
        <v>6</v>
      </c>
      <c r="AN360">
        <v>0</v>
      </c>
      <c r="AQ360">
        <v>40.719909000000001</v>
      </c>
      <c r="AR360">
        <v>-73.991729000000007</v>
      </c>
      <c r="AS360">
        <v>20</v>
      </c>
      <c r="AT360">
        <v>6</v>
      </c>
      <c r="AU360">
        <v>9</v>
      </c>
      <c r="AV360">
        <v>256</v>
      </c>
      <c r="AW360" t="s">
        <v>266</v>
      </c>
      <c r="AX360">
        <v>36</v>
      </c>
      <c r="AY360">
        <v>36061</v>
      </c>
      <c r="AZ360">
        <v>11</v>
      </c>
    </row>
    <row r="361" spans="1:52" x14ac:dyDescent="0.3">
      <c r="A361">
        <v>311</v>
      </c>
      <c r="B361" s="3">
        <v>370405000000</v>
      </c>
      <c r="C361" t="s">
        <v>1310</v>
      </c>
      <c r="D361" t="str">
        <f>IF(ISNUMBER(SEARCH("High",C361)), "High School","")</f>
        <v>High School</v>
      </c>
      <c r="E361">
        <v>3704050</v>
      </c>
      <c r="F361" t="s">
        <v>1311</v>
      </c>
      <c r="G361" s="1">
        <v>44539</v>
      </c>
      <c r="H361" t="s">
        <v>1243</v>
      </c>
      <c r="I361">
        <v>2021</v>
      </c>
      <c r="J361" s="2">
        <v>0.58333333333333337</v>
      </c>
      <c r="K361" t="s">
        <v>67</v>
      </c>
      <c r="L361" t="s">
        <v>1312</v>
      </c>
      <c r="M361" t="s">
        <v>326</v>
      </c>
      <c r="N361" s="4">
        <v>10551162</v>
      </c>
      <c r="O361" t="s">
        <v>56</v>
      </c>
      <c r="P361">
        <v>1245</v>
      </c>
      <c r="Q361">
        <v>0</v>
      </c>
      <c r="R361">
        <v>0</v>
      </c>
      <c r="S361">
        <v>0</v>
      </c>
      <c r="T361" t="s">
        <v>114</v>
      </c>
      <c r="Y361">
        <v>0</v>
      </c>
      <c r="AG361">
        <v>933</v>
      </c>
      <c r="AH361">
        <v>48</v>
      </c>
      <c r="AI361">
        <v>205</v>
      </c>
      <c r="AJ361">
        <v>6</v>
      </c>
      <c r="AK361">
        <v>3</v>
      </c>
      <c r="AL361">
        <v>0</v>
      </c>
      <c r="AM361">
        <v>50</v>
      </c>
      <c r="AN361">
        <v>0</v>
      </c>
      <c r="AQ361">
        <v>35.563000000000002</v>
      </c>
      <c r="AR361">
        <v>-80.545699999999997</v>
      </c>
      <c r="AS361">
        <v>71.239999999999995</v>
      </c>
      <c r="AT361">
        <v>9</v>
      </c>
      <c r="AU361">
        <v>12</v>
      </c>
      <c r="AV361">
        <v>461</v>
      </c>
      <c r="AW361" t="s">
        <v>813</v>
      </c>
      <c r="AX361">
        <v>37</v>
      </c>
      <c r="AY361">
        <v>37159</v>
      </c>
      <c r="AZ361">
        <v>41</v>
      </c>
    </row>
    <row r="362" spans="1:52" x14ac:dyDescent="0.3">
      <c r="A362">
        <v>312</v>
      </c>
      <c r="B362" s="3">
        <v>370297000000</v>
      </c>
      <c r="C362" t="s">
        <v>1313</v>
      </c>
      <c r="D362" t="str">
        <f>IF(ISNUMBER(SEARCH("High",C362)), "High School","")</f>
        <v>High School</v>
      </c>
      <c r="E362">
        <v>3702970</v>
      </c>
      <c r="F362" t="s">
        <v>1314</v>
      </c>
      <c r="G362" s="1">
        <v>44543</v>
      </c>
      <c r="H362" t="s">
        <v>1243</v>
      </c>
      <c r="I362">
        <v>2021</v>
      </c>
      <c r="J362" s="2">
        <v>0.59375</v>
      </c>
      <c r="K362" t="s">
        <v>82</v>
      </c>
      <c r="L362" t="s">
        <v>338</v>
      </c>
      <c r="M362" t="s">
        <v>326</v>
      </c>
      <c r="N362" s="4">
        <v>10551162</v>
      </c>
      <c r="O362" t="s">
        <v>56</v>
      </c>
      <c r="P362">
        <v>1376</v>
      </c>
      <c r="Q362">
        <v>0</v>
      </c>
      <c r="R362">
        <v>0</v>
      </c>
      <c r="S362">
        <v>0</v>
      </c>
      <c r="T362" t="s">
        <v>70</v>
      </c>
      <c r="X362" t="s">
        <v>60</v>
      </c>
      <c r="AG362">
        <v>18</v>
      </c>
      <c r="AH362">
        <v>1058</v>
      </c>
      <c r="AI362">
        <v>187</v>
      </c>
      <c r="AJ362">
        <v>35</v>
      </c>
      <c r="AK362">
        <v>2</v>
      </c>
      <c r="AL362">
        <v>0</v>
      </c>
      <c r="AM362">
        <v>76</v>
      </c>
      <c r="AN362">
        <v>0</v>
      </c>
      <c r="AQ362">
        <v>35.2654</v>
      </c>
      <c r="AR362">
        <v>-80.858500000000006</v>
      </c>
      <c r="AS362">
        <v>90.6</v>
      </c>
      <c r="AT362">
        <v>9</v>
      </c>
      <c r="AU362">
        <v>12</v>
      </c>
      <c r="AV362">
        <v>1372</v>
      </c>
      <c r="AW362" t="s">
        <v>339</v>
      </c>
      <c r="AX362">
        <v>37</v>
      </c>
      <c r="AY362">
        <v>37119</v>
      </c>
      <c r="AZ362">
        <v>11</v>
      </c>
    </row>
    <row r="363" spans="1:52" x14ac:dyDescent="0.3">
      <c r="A363">
        <v>313</v>
      </c>
      <c r="B363" s="3">
        <v>450336000000</v>
      </c>
      <c r="C363" t="s">
        <v>1315</v>
      </c>
      <c r="D363" t="str">
        <f>IF(ISNUMBER(SEARCH("High",C363)), "High School","")</f>
        <v>High School</v>
      </c>
      <c r="E363">
        <v>4503360</v>
      </c>
      <c r="F363" t="s">
        <v>1316</v>
      </c>
      <c r="G363" s="1">
        <v>44546</v>
      </c>
      <c r="H363" t="s">
        <v>1243</v>
      </c>
      <c r="I363">
        <v>2021</v>
      </c>
      <c r="J363" s="2">
        <v>0.625</v>
      </c>
      <c r="K363" t="s">
        <v>67</v>
      </c>
      <c r="L363" t="s">
        <v>1317</v>
      </c>
      <c r="M363" t="s">
        <v>604</v>
      </c>
      <c r="N363" s="4">
        <v>5190705</v>
      </c>
      <c r="O363" t="s">
        <v>56</v>
      </c>
      <c r="P363">
        <v>510</v>
      </c>
      <c r="Q363">
        <v>0</v>
      </c>
      <c r="R363">
        <v>0</v>
      </c>
      <c r="S363">
        <v>0</v>
      </c>
      <c r="T363" t="s">
        <v>70</v>
      </c>
      <c r="U363">
        <v>15</v>
      </c>
      <c r="V363" t="s">
        <v>58</v>
      </c>
      <c r="X363" t="s">
        <v>60</v>
      </c>
      <c r="AG363">
        <v>6</v>
      </c>
      <c r="AH363">
        <v>440</v>
      </c>
      <c r="AI363">
        <v>46</v>
      </c>
      <c r="AJ363">
        <v>0</v>
      </c>
      <c r="AK363">
        <v>0</v>
      </c>
      <c r="AL363">
        <v>6</v>
      </c>
      <c r="AM363">
        <v>17</v>
      </c>
      <c r="AN363">
        <v>0</v>
      </c>
      <c r="AQ363">
        <v>34.048231000000001</v>
      </c>
      <c r="AR363">
        <v>-81.040983999999995</v>
      </c>
      <c r="AS363">
        <v>50</v>
      </c>
      <c r="AT363">
        <v>9</v>
      </c>
      <c r="AU363">
        <v>12</v>
      </c>
      <c r="AV363">
        <v>510</v>
      </c>
      <c r="AW363" t="s">
        <v>1318</v>
      </c>
      <c r="AX363">
        <v>45</v>
      </c>
      <c r="AY363">
        <v>45079</v>
      </c>
      <c r="AZ363">
        <v>12</v>
      </c>
    </row>
    <row r="364" spans="1:52" x14ac:dyDescent="0.3">
      <c r="A364">
        <v>329</v>
      </c>
      <c r="B364" s="3">
        <v>510313000000</v>
      </c>
      <c r="C364" t="s">
        <v>1368</v>
      </c>
      <c r="D364" t="str">
        <f>IF(ISNUMBER(SEARCH("Middle",C364)), "Middle School","")</f>
        <v>Middle School</v>
      </c>
      <c r="E364">
        <v>5103130</v>
      </c>
      <c r="F364" t="s">
        <v>1369</v>
      </c>
      <c r="G364" s="1">
        <v>44642</v>
      </c>
      <c r="H364" t="s">
        <v>1243</v>
      </c>
      <c r="I364">
        <v>2022</v>
      </c>
      <c r="J364" s="2">
        <v>0.45833333333333331</v>
      </c>
      <c r="K364" t="s">
        <v>67</v>
      </c>
      <c r="L364" t="s">
        <v>1370</v>
      </c>
      <c r="M364" t="s">
        <v>441</v>
      </c>
      <c r="N364" s="4">
        <v>8642274</v>
      </c>
      <c r="O364" t="s">
        <v>56</v>
      </c>
      <c r="P364">
        <v>1371</v>
      </c>
      <c r="Q364">
        <v>0</v>
      </c>
      <c r="R364">
        <v>0</v>
      </c>
      <c r="S364">
        <v>0</v>
      </c>
      <c r="T364" t="s">
        <v>57</v>
      </c>
      <c r="U364">
        <v>20</v>
      </c>
      <c r="V364" t="s">
        <v>58</v>
      </c>
      <c r="W364" t="s">
        <v>146</v>
      </c>
      <c r="AG364">
        <v>127</v>
      </c>
      <c r="AH364">
        <v>519</v>
      </c>
      <c r="AI364">
        <v>498</v>
      </c>
      <c r="AJ364">
        <v>140</v>
      </c>
      <c r="AK364">
        <v>2</v>
      </c>
      <c r="AL364">
        <v>5</v>
      </c>
      <c r="AM364">
        <v>80</v>
      </c>
      <c r="AN364">
        <v>0</v>
      </c>
      <c r="AO364" t="s">
        <v>1371</v>
      </c>
      <c r="AQ364">
        <v>38.622599999999998</v>
      </c>
      <c r="AR364">
        <v>-77.267099999999999</v>
      </c>
      <c r="AS364">
        <v>82.67</v>
      </c>
      <c r="AT364">
        <v>6</v>
      </c>
      <c r="AU364">
        <v>7</v>
      </c>
      <c r="AW364" t="s">
        <v>1372</v>
      </c>
      <c r="AX364">
        <v>51</v>
      </c>
      <c r="AY364">
        <v>51153</v>
      </c>
      <c r="AZ364">
        <v>21</v>
      </c>
    </row>
    <row r="365" spans="1:52" x14ac:dyDescent="0.3">
      <c r="A365">
        <v>332</v>
      </c>
      <c r="B365" s="3">
        <v>390483000000</v>
      </c>
      <c r="C365" t="s">
        <v>1382</v>
      </c>
      <c r="D365" t="str">
        <f>IF(ISNUMBER(SEARCH("High",C365)), "High School","")</f>
        <v>High School</v>
      </c>
      <c r="E365">
        <v>3904833</v>
      </c>
      <c r="F365" t="s">
        <v>1383</v>
      </c>
      <c r="G365" s="1">
        <v>44656</v>
      </c>
      <c r="H365" t="s">
        <v>1243</v>
      </c>
      <c r="I365">
        <v>2022</v>
      </c>
      <c r="J365" s="2">
        <v>0.41666666666666669</v>
      </c>
      <c r="K365" t="s">
        <v>67</v>
      </c>
      <c r="L365" t="s">
        <v>1384</v>
      </c>
      <c r="M365" t="s">
        <v>180</v>
      </c>
      <c r="N365" s="4">
        <v>11780017</v>
      </c>
      <c r="O365" t="s">
        <v>56</v>
      </c>
      <c r="P365">
        <v>219</v>
      </c>
      <c r="Q365">
        <v>0</v>
      </c>
      <c r="R365">
        <v>0</v>
      </c>
      <c r="S365">
        <v>0</v>
      </c>
      <c r="T365" t="s">
        <v>740</v>
      </c>
      <c r="X365" t="s">
        <v>60</v>
      </c>
      <c r="AG365">
        <v>191</v>
      </c>
      <c r="AH365">
        <v>9</v>
      </c>
      <c r="AI365">
        <v>15</v>
      </c>
      <c r="AJ365">
        <v>0</v>
      </c>
      <c r="AK365">
        <v>0</v>
      </c>
      <c r="AL365">
        <v>0</v>
      </c>
      <c r="AM365">
        <v>4</v>
      </c>
      <c r="AN365">
        <v>0</v>
      </c>
      <c r="AQ365">
        <v>41.044822000000003</v>
      </c>
      <c r="AR365">
        <v>-80.552324999999996</v>
      </c>
      <c r="AS365">
        <v>18.46</v>
      </c>
      <c r="AT365">
        <v>7</v>
      </c>
      <c r="AU365">
        <v>12</v>
      </c>
      <c r="AW365" t="s">
        <v>1385</v>
      </c>
      <c r="AX365">
        <v>39</v>
      </c>
      <c r="AY365">
        <v>39099</v>
      </c>
      <c r="AZ365">
        <v>21</v>
      </c>
    </row>
    <row r="366" spans="1:52" x14ac:dyDescent="0.3">
      <c r="A366">
        <v>333</v>
      </c>
      <c r="B366" s="3">
        <v>280360000000</v>
      </c>
      <c r="C366" t="s">
        <v>1376</v>
      </c>
      <c r="D366" t="str">
        <f>IF(ISNUMBER(SEARCH("Elementary",C366)), "Elementary School","")</f>
        <v>Elementary School</v>
      </c>
      <c r="E366">
        <v>2803600</v>
      </c>
      <c r="F366" t="s">
        <v>1377</v>
      </c>
      <c r="G366" s="1">
        <v>44651</v>
      </c>
      <c r="H366" t="s">
        <v>1243</v>
      </c>
      <c r="I366">
        <v>2022</v>
      </c>
      <c r="J366" s="2">
        <v>0.375</v>
      </c>
      <c r="K366" t="s">
        <v>67</v>
      </c>
      <c r="L366" t="s">
        <v>83</v>
      </c>
      <c r="M366" t="s">
        <v>84</v>
      </c>
      <c r="N366" s="4">
        <v>12964056</v>
      </c>
      <c r="O366" t="s">
        <v>56</v>
      </c>
      <c r="P366">
        <v>470</v>
      </c>
      <c r="Q366">
        <v>0</v>
      </c>
      <c r="R366">
        <v>0</v>
      </c>
      <c r="S366">
        <v>0</v>
      </c>
      <c r="T366" t="s">
        <v>114</v>
      </c>
      <c r="U366">
        <v>8</v>
      </c>
      <c r="V366" t="s">
        <v>58</v>
      </c>
      <c r="X366" t="s">
        <v>60</v>
      </c>
      <c r="Y366">
        <v>0</v>
      </c>
      <c r="AG366">
        <v>60</v>
      </c>
      <c r="AH366">
        <v>382</v>
      </c>
      <c r="AI366">
        <v>6</v>
      </c>
      <c r="AJ366">
        <v>10</v>
      </c>
      <c r="AK366">
        <v>8</v>
      </c>
      <c r="AL366">
        <v>0</v>
      </c>
      <c r="AM366">
        <v>4</v>
      </c>
      <c r="AN366">
        <v>0</v>
      </c>
      <c r="AQ366">
        <v>32.780532000000001</v>
      </c>
      <c r="AR366">
        <v>-89.105653000000004</v>
      </c>
      <c r="AS366">
        <v>36.200000000000003</v>
      </c>
      <c r="AT366" t="s">
        <v>130</v>
      </c>
      <c r="AU366">
        <v>6</v>
      </c>
      <c r="AV366">
        <v>470</v>
      </c>
      <c r="AW366" t="s">
        <v>1378</v>
      </c>
      <c r="AX366">
        <v>28</v>
      </c>
      <c r="AY366">
        <v>28099</v>
      </c>
      <c r="AZ366">
        <v>33</v>
      </c>
    </row>
    <row r="367" spans="1:52" x14ac:dyDescent="0.3">
      <c r="A367">
        <v>334</v>
      </c>
      <c r="B367">
        <v>50002600867</v>
      </c>
      <c r="C367" t="s">
        <v>1390</v>
      </c>
      <c r="D367" t="str">
        <f>IF(ISNUMBER(SEARCH("High",C367)), "High School","")</f>
        <v>High School</v>
      </c>
      <c r="E367">
        <v>500026</v>
      </c>
      <c r="F367" t="s">
        <v>1391</v>
      </c>
      <c r="G367" s="1">
        <v>44662</v>
      </c>
      <c r="H367" t="s">
        <v>1243</v>
      </c>
      <c r="I367">
        <v>2022</v>
      </c>
      <c r="J367" s="2">
        <v>0.61458333333333337</v>
      </c>
      <c r="K367" t="s">
        <v>82</v>
      </c>
      <c r="L367" t="s">
        <v>1199</v>
      </c>
      <c r="M367" t="s">
        <v>884</v>
      </c>
      <c r="N367" s="4">
        <v>3025891</v>
      </c>
      <c r="O367" t="s">
        <v>56</v>
      </c>
      <c r="P367">
        <v>892</v>
      </c>
      <c r="Q367">
        <v>0</v>
      </c>
      <c r="R367">
        <v>0</v>
      </c>
      <c r="S367">
        <v>0</v>
      </c>
      <c r="T367" t="s">
        <v>792</v>
      </c>
      <c r="V367" t="s">
        <v>58</v>
      </c>
      <c r="X367" t="s">
        <v>60</v>
      </c>
      <c r="AG367">
        <v>21</v>
      </c>
      <c r="AH367">
        <v>851</v>
      </c>
      <c r="AI367">
        <v>16</v>
      </c>
      <c r="AJ367">
        <v>1</v>
      </c>
      <c r="AK367">
        <v>0</v>
      </c>
      <c r="AL367">
        <v>0</v>
      </c>
      <c r="AM367">
        <v>3</v>
      </c>
      <c r="AN367">
        <v>1</v>
      </c>
      <c r="AQ367">
        <v>34.219096</v>
      </c>
      <c r="AR367">
        <v>-92.010780999999994</v>
      </c>
      <c r="AS367">
        <v>58.17</v>
      </c>
      <c r="AT367">
        <v>9</v>
      </c>
      <c r="AU367">
        <v>12</v>
      </c>
      <c r="AV367">
        <v>892</v>
      </c>
      <c r="AW367" t="s">
        <v>64</v>
      </c>
      <c r="AX367">
        <v>5</v>
      </c>
      <c r="AY367">
        <v>5069</v>
      </c>
      <c r="AZ367">
        <v>13</v>
      </c>
    </row>
    <row r="368" spans="1:52" x14ac:dyDescent="0.3">
      <c r="A368">
        <v>335</v>
      </c>
      <c r="B368" s="3">
        <v>362010000000</v>
      </c>
      <c r="C368" t="s">
        <v>1332</v>
      </c>
      <c r="D368" t="str">
        <f>IF(ISNUMBER(SEARCH("High",C368)), "High School","")</f>
        <v>High School</v>
      </c>
      <c r="E368">
        <v>3620100</v>
      </c>
      <c r="F368" t="s">
        <v>1333</v>
      </c>
      <c r="G368" s="1">
        <v>44600</v>
      </c>
      <c r="H368" t="s">
        <v>1243</v>
      </c>
      <c r="I368">
        <v>2022</v>
      </c>
      <c r="J368" s="2">
        <v>0.58333333333333337</v>
      </c>
      <c r="K368" t="s">
        <v>53</v>
      </c>
      <c r="L368" t="s">
        <v>1334</v>
      </c>
      <c r="M368" t="s">
        <v>263</v>
      </c>
      <c r="N368" s="4">
        <v>19835913</v>
      </c>
      <c r="O368" t="s">
        <v>56</v>
      </c>
      <c r="P368">
        <v>1302</v>
      </c>
      <c r="Q368">
        <v>0</v>
      </c>
      <c r="R368">
        <v>0</v>
      </c>
      <c r="S368">
        <v>0</v>
      </c>
      <c r="T368" t="s">
        <v>792</v>
      </c>
      <c r="AG368">
        <v>45</v>
      </c>
      <c r="AH368">
        <v>974</v>
      </c>
      <c r="AI368">
        <v>262</v>
      </c>
      <c r="AJ368">
        <v>11</v>
      </c>
      <c r="AK368">
        <v>6</v>
      </c>
      <c r="AL368">
        <v>2</v>
      </c>
      <c r="AM368">
        <v>2</v>
      </c>
      <c r="AN368">
        <v>0</v>
      </c>
      <c r="AQ368">
        <v>40.925800000000002</v>
      </c>
      <c r="AR368">
        <v>-73.815100000000001</v>
      </c>
      <c r="AS368">
        <v>79.739999999999995</v>
      </c>
      <c r="AT368">
        <v>9</v>
      </c>
      <c r="AU368">
        <v>12</v>
      </c>
      <c r="AW368" t="s">
        <v>1335</v>
      </c>
      <c r="AX368">
        <v>36</v>
      </c>
      <c r="AY368">
        <v>36119</v>
      </c>
      <c r="AZ368">
        <v>21</v>
      </c>
    </row>
    <row r="369" spans="1:52" x14ac:dyDescent="0.3">
      <c r="A369">
        <v>336</v>
      </c>
      <c r="B369" s="3">
        <v>130123000000</v>
      </c>
      <c r="C369" t="s">
        <v>1341</v>
      </c>
      <c r="D369" t="str">
        <f>IF(ISNUMBER(SEARCH("High",C369)), "High School","")</f>
        <v>High School</v>
      </c>
      <c r="E369">
        <v>1301230</v>
      </c>
      <c r="F369" t="s">
        <v>1342</v>
      </c>
      <c r="G369" s="1">
        <v>44620</v>
      </c>
      <c r="H369" t="s">
        <v>1243</v>
      </c>
      <c r="I369">
        <v>2022</v>
      </c>
      <c r="K369" t="s">
        <v>82</v>
      </c>
      <c r="L369" t="s">
        <v>1343</v>
      </c>
      <c r="M369" t="s">
        <v>77</v>
      </c>
      <c r="N369" s="4">
        <v>10799566</v>
      </c>
      <c r="O369" t="s">
        <v>56</v>
      </c>
      <c r="P369">
        <v>1383</v>
      </c>
      <c r="Q369">
        <v>0</v>
      </c>
      <c r="R369">
        <v>0</v>
      </c>
      <c r="S369">
        <v>0</v>
      </c>
      <c r="T369" t="s">
        <v>792</v>
      </c>
      <c r="X369" t="s">
        <v>60</v>
      </c>
      <c r="AG369">
        <v>44</v>
      </c>
      <c r="AH369">
        <v>923</v>
      </c>
      <c r="AI369">
        <v>313</v>
      </c>
      <c r="AJ369">
        <v>48</v>
      </c>
      <c r="AK369">
        <v>6</v>
      </c>
      <c r="AL369">
        <v>0</v>
      </c>
      <c r="AM369">
        <v>49</v>
      </c>
      <c r="AN369">
        <v>0</v>
      </c>
      <c r="AO369" t="s">
        <v>1344</v>
      </c>
      <c r="AQ369">
        <v>33.542700000000004</v>
      </c>
      <c r="AR369">
        <v>-84.342799999999997</v>
      </c>
      <c r="AS369">
        <v>75.3</v>
      </c>
      <c r="AT369">
        <v>9</v>
      </c>
      <c r="AU369">
        <v>12</v>
      </c>
      <c r="AV369">
        <v>1286</v>
      </c>
      <c r="AW369" t="s">
        <v>1343</v>
      </c>
      <c r="AX369">
        <v>13</v>
      </c>
      <c r="AY369">
        <v>13063</v>
      </c>
      <c r="AZ369">
        <v>21</v>
      </c>
    </row>
    <row r="370" spans="1:52" x14ac:dyDescent="0.3">
      <c r="A370">
        <v>337</v>
      </c>
      <c r="B370" s="3">
        <v>320006000000</v>
      </c>
      <c r="C370" t="s">
        <v>1373</v>
      </c>
      <c r="D370" t="str">
        <f>IF(ISNUMBER(SEARCH("High",C370)), "High School","")</f>
        <v>High School</v>
      </c>
      <c r="E370">
        <v>3200060</v>
      </c>
      <c r="F370" t="s">
        <v>1069</v>
      </c>
      <c r="G370" s="1">
        <v>44649</v>
      </c>
      <c r="H370" t="s">
        <v>1243</v>
      </c>
      <c r="I370">
        <v>2022</v>
      </c>
      <c r="J370" s="2">
        <v>0.59375</v>
      </c>
      <c r="K370" t="s">
        <v>53</v>
      </c>
      <c r="L370" t="s">
        <v>1374</v>
      </c>
      <c r="M370" t="s">
        <v>465</v>
      </c>
      <c r="N370" s="4">
        <v>3143991</v>
      </c>
      <c r="O370" t="s">
        <v>56</v>
      </c>
      <c r="P370">
        <v>2732</v>
      </c>
      <c r="Q370">
        <v>0</v>
      </c>
      <c r="R370">
        <v>2</v>
      </c>
      <c r="S370">
        <v>0</v>
      </c>
      <c r="T370" t="s">
        <v>70</v>
      </c>
      <c r="X370" t="s">
        <v>1375</v>
      </c>
      <c r="AG370">
        <v>155</v>
      </c>
      <c r="AH370">
        <v>451</v>
      </c>
      <c r="AI370">
        <v>1969</v>
      </c>
      <c r="AJ370">
        <v>49</v>
      </c>
      <c r="AK370">
        <v>1</v>
      </c>
      <c r="AL370">
        <v>21</v>
      </c>
      <c r="AM370">
        <v>86</v>
      </c>
      <c r="AN370">
        <v>0</v>
      </c>
      <c r="AQ370">
        <v>36.176163000000003</v>
      </c>
      <c r="AR370">
        <v>-115.202879</v>
      </c>
      <c r="AS370">
        <v>103</v>
      </c>
      <c r="AT370">
        <v>9</v>
      </c>
      <c r="AU370">
        <v>12</v>
      </c>
      <c r="AV370">
        <v>2732</v>
      </c>
      <c r="AW370" t="s">
        <v>1071</v>
      </c>
      <c r="AX370">
        <v>32</v>
      </c>
      <c r="AY370">
        <v>32003</v>
      </c>
      <c r="AZ370">
        <v>11</v>
      </c>
    </row>
    <row r="371" spans="1:52" x14ac:dyDescent="0.3">
      <c r="A371">
        <v>338</v>
      </c>
      <c r="B371" s="3">
        <v>262540000000</v>
      </c>
      <c r="C371" t="s">
        <v>1394</v>
      </c>
      <c r="D371" t="str">
        <f>IF(ISNUMBER(SEARCH("Elementary",C371)), "Elementary School","")</f>
        <v>Elementary School</v>
      </c>
      <c r="E371">
        <v>2625400</v>
      </c>
      <c r="F371" t="s">
        <v>1395</v>
      </c>
      <c r="G371" s="1">
        <v>44677</v>
      </c>
      <c r="H371" t="s">
        <v>1243</v>
      </c>
      <c r="I371">
        <v>2022</v>
      </c>
      <c r="J371" s="2">
        <v>0.5625</v>
      </c>
      <c r="K371" t="s">
        <v>53</v>
      </c>
      <c r="L371" t="s">
        <v>1396</v>
      </c>
      <c r="M371" t="s">
        <v>145</v>
      </c>
      <c r="N371" s="4">
        <v>10050811</v>
      </c>
      <c r="O371" t="s">
        <v>56</v>
      </c>
      <c r="P371">
        <v>753</v>
      </c>
      <c r="Q371">
        <v>0</v>
      </c>
      <c r="R371">
        <v>0</v>
      </c>
      <c r="S371">
        <v>0</v>
      </c>
      <c r="T371" t="s">
        <v>740</v>
      </c>
      <c r="V371" t="s">
        <v>58</v>
      </c>
      <c r="X371" t="s">
        <v>60</v>
      </c>
      <c r="AG371">
        <v>706</v>
      </c>
      <c r="AH371">
        <v>3</v>
      </c>
      <c r="AI371">
        <v>6</v>
      </c>
      <c r="AJ371">
        <v>5</v>
      </c>
      <c r="AK371">
        <v>12</v>
      </c>
      <c r="AL371">
        <v>5</v>
      </c>
      <c r="AM371">
        <v>16</v>
      </c>
      <c r="AN371">
        <v>0</v>
      </c>
      <c r="AQ371">
        <v>46.480499999999999</v>
      </c>
      <c r="AR371">
        <v>-87.728899999999996</v>
      </c>
      <c r="AS371">
        <v>50.95</v>
      </c>
      <c r="AT371" t="s">
        <v>124</v>
      </c>
      <c r="AU371">
        <v>8</v>
      </c>
      <c r="AV371">
        <v>264</v>
      </c>
      <c r="AW371" t="s">
        <v>1397</v>
      </c>
      <c r="AX371">
        <v>26</v>
      </c>
      <c r="AY371">
        <v>26103</v>
      </c>
      <c r="AZ371">
        <v>41</v>
      </c>
    </row>
    <row r="372" spans="1:52" x14ac:dyDescent="0.3">
      <c r="A372">
        <v>342</v>
      </c>
      <c r="B372" s="3">
        <v>483042000000</v>
      </c>
      <c r="C372" t="s">
        <v>1405</v>
      </c>
      <c r="D372" t="str">
        <f>IF(ISNUMBER(SEARCH("High",C372)), "High School","")</f>
        <v>High School</v>
      </c>
      <c r="E372">
        <v>4830420</v>
      </c>
      <c r="F372" t="s">
        <v>1406</v>
      </c>
      <c r="G372" s="1">
        <v>44698</v>
      </c>
      <c r="H372" t="s">
        <v>1243</v>
      </c>
      <c r="I372">
        <v>2022</v>
      </c>
      <c r="J372" s="2">
        <v>0.47222222222222227</v>
      </c>
      <c r="K372" t="s">
        <v>82</v>
      </c>
      <c r="L372" t="s">
        <v>1407</v>
      </c>
      <c r="M372" t="s">
        <v>205</v>
      </c>
      <c r="N372" s="4">
        <v>29527941</v>
      </c>
      <c r="O372" t="s">
        <v>56</v>
      </c>
      <c r="P372">
        <v>531</v>
      </c>
      <c r="Q372">
        <v>0</v>
      </c>
      <c r="R372">
        <v>0</v>
      </c>
      <c r="S372">
        <v>0</v>
      </c>
      <c r="T372" t="s">
        <v>792</v>
      </c>
      <c r="U372">
        <v>17</v>
      </c>
      <c r="V372" t="s">
        <v>58</v>
      </c>
      <c r="X372" t="s">
        <v>60</v>
      </c>
      <c r="AG372">
        <v>97</v>
      </c>
      <c r="AH372">
        <v>134</v>
      </c>
      <c r="AI372">
        <v>280</v>
      </c>
      <c r="AJ372">
        <v>9</v>
      </c>
      <c r="AK372">
        <v>0</v>
      </c>
      <c r="AL372">
        <v>1</v>
      </c>
      <c r="AM372">
        <v>12</v>
      </c>
      <c r="AN372">
        <v>0</v>
      </c>
      <c r="AQ372">
        <v>31.696012</v>
      </c>
      <c r="AR372">
        <v>-96.473307000000005</v>
      </c>
      <c r="AS372">
        <v>42.8</v>
      </c>
      <c r="AT372">
        <v>9</v>
      </c>
      <c r="AU372">
        <v>12</v>
      </c>
      <c r="AV372">
        <v>431</v>
      </c>
      <c r="AW372" t="s">
        <v>1408</v>
      </c>
      <c r="AX372">
        <v>48</v>
      </c>
      <c r="AY372">
        <v>48293</v>
      </c>
      <c r="AZ372">
        <v>33</v>
      </c>
    </row>
    <row r="373" spans="1:52" x14ac:dyDescent="0.3">
      <c r="A373">
        <v>343</v>
      </c>
      <c r="B373" s="3">
        <v>120150000000</v>
      </c>
      <c r="C373" t="s">
        <v>1401</v>
      </c>
      <c r="D373" t="s">
        <v>1539</v>
      </c>
      <c r="E373">
        <v>1201500</v>
      </c>
      <c r="F373" t="s">
        <v>168</v>
      </c>
      <c r="G373" s="1">
        <v>44694</v>
      </c>
      <c r="H373" t="s">
        <v>1243</v>
      </c>
      <c r="I373">
        <v>2022</v>
      </c>
      <c r="J373" s="2">
        <v>0.49861111111111112</v>
      </c>
      <c r="K373" t="s">
        <v>95</v>
      </c>
      <c r="L373" t="s">
        <v>1402</v>
      </c>
      <c r="M373" t="s">
        <v>113</v>
      </c>
      <c r="N373" s="4">
        <v>21781128</v>
      </c>
      <c r="O373" t="s">
        <v>56</v>
      </c>
      <c r="P373">
        <v>1363</v>
      </c>
      <c r="Q373">
        <v>1</v>
      </c>
      <c r="R373">
        <v>0</v>
      </c>
      <c r="S373">
        <v>0</v>
      </c>
      <c r="T373" t="s">
        <v>70</v>
      </c>
      <c r="V373" t="s">
        <v>152</v>
      </c>
      <c r="X373" t="s">
        <v>1403</v>
      </c>
      <c r="AG373">
        <v>710</v>
      </c>
      <c r="AH373">
        <v>125</v>
      </c>
      <c r="AI373">
        <v>326</v>
      </c>
      <c r="AJ373">
        <v>127</v>
      </c>
      <c r="AK373">
        <v>3</v>
      </c>
      <c r="AL373">
        <v>0</v>
      </c>
      <c r="AM373">
        <v>72</v>
      </c>
      <c r="AN373">
        <v>0</v>
      </c>
      <c r="AQ373">
        <v>26.709237999999999</v>
      </c>
      <c r="AR373">
        <v>-80.059481000000005</v>
      </c>
      <c r="AS373">
        <v>65</v>
      </c>
      <c r="AT373">
        <v>9</v>
      </c>
      <c r="AU373">
        <v>12</v>
      </c>
      <c r="AV373">
        <v>327</v>
      </c>
      <c r="AW373" t="s">
        <v>168</v>
      </c>
      <c r="AX373">
        <v>12</v>
      </c>
      <c r="AY373">
        <v>12099</v>
      </c>
      <c r="AZ373">
        <v>12</v>
      </c>
    </row>
    <row r="374" spans="1:52" x14ac:dyDescent="0.3">
      <c r="A374">
        <v>345</v>
      </c>
      <c r="B374">
        <v>64074006734</v>
      </c>
      <c r="C374" t="s">
        <v>1420</v>
      </c>
      <c r="D374" t="str">
        <f>IF(ISNUMBER(SEARCH("High",C374)), "High School","")</f>
        <v>High School</v>
      </c>
      <c r="E374">
        <v>640740</v>
      </c>
      <c r="F374" t="s">
        <v>1421</v>
      </c>
      <c r="G374" s="1">
        <v>44762</v>
      </c>
      <c r="H374" t="s">
        <v>1417</v>
      </c>
      <c r="I374">
        <v>2022</v>
      </c>
      <c r="J374" s="2">
        <v>0.3923611111111111</v>
      </c>
      <c r="K374" t="s">
        <v>90</v>
      </c>
      <c r="L374" t="s">
        <v>1422</v>
      </c>
      <c r="M374" t="s">
        <v>121</v>
      </c>
      <c r="N374" s="4">
        <v>39237836</v>
      </c>
      <c r="O374" t="s">
        <v>56</v>
      </c>
      <c r="P374">
        <v>135</v>
      </c>
      <c r="Q374">
        <v>0</v>
      </c>
      <c r="R374">
        <v>0</v>
      </c>
      <c r="S374">
        <v>0</v>
      </c>
      <c r="T374" t="s">
        <v>792</v>
      </c>
      <c r="V374" t="s">
        <v>58</v>
      </c>
      <c r="W374" t="s">
        <v>1423</v>
      </c>
      <c r="AG374">
        <v>9</v>
      </c>
      <c r="AH374">
        <v>53</v>
      </c>
      <c r="AI374">
        <v>65</v>
      </c>
      <c r="AJ374">
        <v>4</v>
      </c>
      <c r="AK374">
        <v>0</v>
      </c>
      <c r="AL374">
        <v>2</v>
      </c>
      <c r="AM374">
        <v>2</v>
      </c>
      <c r="AN374">
        <v>0</v>
      </c>
      <c r="AQ374">
        <v>38.111902000000001</v>
      </c>
      <c r="AR374">
        <v>-122.243859</v>
      </c>
      <c r="AS374">
        <v>7.12</v>
      </c>
      <c r="AT374">
        <v>9</v>
      </c>
      <c r="AU374">
        <v>12</v>
      </c>
      <c r="AV374">
        <v>93</v>
      </c>
      <c r="AW374" t="s">
        <v>446</v>
      </c>
      <c r="AX374">
        <v>6</v>
      </c>
      <c r="AY374">
        <v>6095</v>
      </c>
      <c r="AZ374">
        <v>12</v>
      </c>
    </row>
    <row r="375" spans="1:52" x14ac:dyDescent="0.3">
      <c r="A375">
        <v>351</v>
      </c>
      <c r="B375" s="3">
        <v>120129000000</v>
      </c>
      <c r="C375" t="s">
        <v>1428</v>
      </c>
      <c r="D375" t="s">
        <v>1542</v>
      </c>
      <c r="E375">
        <v>1201290</v>
      </c>
      <c r="F375" t="s">
        <v>1429</v>
      </c>
      <c r="G375" s="1">
        <v>44823</v>
      </c>
      <c r="H375" t="s">
        <v>1417</v>
      </c>
      <c r="I375">
        <v>2022</v>
      </c>
      <c r="K375" t="s">
        <v>82</v>
      </c>
      <c r="L375" t="s">
        <v>1430</v>
      </c>
      <c r="M375" t="s">
        <v>113</v>
      </c>
      <c r="N375" s="4">
        <v>21781128</v>
      </c>
      <c r="O375" t="s">
        <v>56</v>
      </c>
      <c r="P375">
        <v>1030</v>
      </c>
      <c r="Q375">
        <v>0</v>
      </c>
      <c r="R375">
        <v>0</v>
      </c>
      <c r="S375">
        <v>0</v>
      </c>
      <c r="T375" t="s">
        <v>114</v>
      </c>
      <c r="V375" t="s">
        <v>58</v>
      </c>
      <c r="W375" t="s">
        <v>59</v>
      </c>
      <c r="X375" t="s">
        <v>1431</v>
      </c>
      <c r="Y375">
        <v>0</v>
      </c>
      <c r="AG375">
        <v>818</v>
      </c>
      <c r="AH375">
        <v>25</v>
      </c>
      <c r="AI375">
        <v>130</v>
      </c>
      <c r="AJ375">
        <v>20</v>
      </c>
      <c r="AK375">
        <v>1</v>
      </c>
      <c r="AL375">
        <v>1</v>
      </c>
      <c r="AM375">
        <v>35</v>
      </c>
      <c r="AN375">
        <v>0</v>
      </c>
      <c r="AO375" t="s">
        <v>136</v>
      </c>
      <c r="AQ375">
        <v>27.120512999999999</v>
      </c>
      <c r="AR375">
        <v>-80.234927999999996</v>
      </c>
      <c r="AS375">
        <v>67</v>
      </c>
      <c r="AT375" t="s">
        <v>124</v>
      </c>
      <c r="AU375">
        <v>12</v>
      </c>
      <c r="AV375">
        <v>153</v>
      </c>
      <c r="AW375" t="s">
        <v>1432</v>
      </c>
      <c r="AX375">
        <v>12</v>
      </c>
      <c r="AY375">
        <v>12085</v>
      </c>
      <c r="AZ375">
        <v>21</v>
      </c>
    </row>
    <row r="376" spans="1:52" x14ac:dyDescent="0.3">
      <c r="A376">
        <v>352</v>
      </c>
      <c r="B376" s="3">
        <v>271878000000</v>
      </c>
      <c r="C376" t="s">
        <v>1433</v>
      </c>
      <c r="D376" t="str">
        <f>IF(ISNUMBER(SEARCH("High",C376)), "High School","")</f>
        <v>High School</v>
      </c>
      <c r="E376">
        <v>2718780</v>
      </c>
      <c r="F376" t="s">
        <v>1434</v>
      </c>
      <c r="G376" s="1">
        <v>44824</v>
      </c>
      <c r="H376" t="s">
        <v>1417</v>
      </c>
      <c r="I376">
        <v>2022</v>
      </c>
      <c r="J376" s="2">
        <v>0.5</v>
      </c>
      <c r="K376" t="s">
        <v>53</v>
      </c>
      <c r="L376" t="s">
        <v>1435</v>
      </c>
      <c r="M376" t="s">
        <v>321</v>
      </c>
      <c r="N376" s="4">
        <v>5707390</v>
      </c>
      <c r="O376" t="s">
        <v>56</v>
      </c>
      <c r="P376">
        <v>1243</v>
      </c>
      <c r="Q376">
        <v>0</v>
      </c>
      <c r="R376">
        <v>0</v>
      </c>
      <c r="S376">
        <v>0</v>
      </c>
      <c r="T376" t="s">
        <v>61</v>
      </c>
      <c r="V376" t="s">
        <v>58</v>
      </c>
      <c r="X376" t="s">
        <v>60</v>
      </c>
      <c r="AG376">
        <v>993</v>
      </c>
      <c r="AH376">
        <v>121</v>
      </c>
      <c r="AI376">
        <v>59</v>
      </c>
      <c r="AJ376">
        <v>28</v>
      </c>
      <c r="AK376">
        <v>2</v>
      </c>
      <c r="AL376">
        <v>59</v>
      </c>
      <c r="AM376">
        <v>39</v>
      </c>
      <c r="AN376">
        <v>0</v>
      </c>
      <c r="AQ376">
        <v>44.159230999999998</v>
      </c>
      <c r="AR376">
        <v>-94.017528999999996</v>
      </c>
      <c r="AS376">
        <v>55.56</v>
      </c>
      <c r="AT376">
        <v>9</v>
      </c>
      <c r="AU376">
        <v>12</v>
      </c>
      <c r="AV376">
        <v>259</v>
      </c>
      <c r="AW376" t="s">
        <v>1436</v>
      </c>
      <c r="AX376">
        <v>27</v>
      </c>
      <c r="AY376">
        <v>27013</v>
      </c>
      <c r="AZ376">
        <v>13</v>
      </c>
    </row>
    <row r="377" spans="1:52" x14ac:dyDescent="0.3">
      <c r="A377">
        <v>364</v>
      </c>
      <c r="B377" s="3">
        <v>370472000000</v>
      </c>
      <c r="C377" t="s">
        <v>1461</v>
      </c>
      <c r="D377" t="str">
        <f>IF(ISNUMBER(SEARCH("Middle",C377)), "Middle School","")</f>
        <v>Middle School</v>
      </c>
      <c r="E377">
        <v>3704720</v>
      </c>
      <c r="F377" t="s">
        <v>1462</v>
      </c>
      <c r="G377" s="1">
        <v>44903</v>
      </c>
      <c r="H377" t="s">
        <v>1417</v>
      </c>
      <c r="I377">
        <v>2022</v>
      </c>
      <c r="J377" s="2">
        <v>0.3354166666666667</v>
      </c>
      <c r="K377" t="s">
        <v>67</v>
      </c>
      <c r="L377" t="s">
        <v>1463</v>
      </c>
      <c r="M377" t="s">
        <v>326</v>
      </c>
      <c r="N377" s="4">
        <v>10551162</v>
      </c>
      <c r="O377" t="s">
        <v>56</v>
      </c>
      <c r="P377">
        <v>1157</v>
      </c>
      <c r="Q377">
        <v>0</v>
      </c>
      <c r="R377">
        <v>0</v>
      </c>
      <c r="S377">
        <v>0</v>
      </c>
      <c r="T377" t="s">
        <v>114</v>
      </c>
      <c r="U377">
        <v>12</v>
      </c>
      <c r="X377" t="s">
        <v>60</v>
      </c>
      <c r="AG377">
        <v>694</v>
      </c>
      <c r="AH377">
        <v>183</v>
      </c>
      <c r="AI377">
        <v>210</v>
      </c>
      <c r="AJ377">
        <v>18</v>
      </c>
      <c r="AK377">
        <v>6</v>
      </c>
      <c r="AL377">
        <v>3</v>
      </c>
      <c r="AM377">
        <v>43</v>
      </c>
      <c r="AN377">
        <v>0</v>
      </c>
      <c r="AQ377">
        <v>35.585093000000001</v>
      </c>
      <c r="AR377">
        <v>-78.793497000000002</v>
      </c>
      <c r="AS377">
        <v>65.5</v>
      </c>
      <c r="AT377">
        <v>6</v>
      </c>
      <c r="AU377">
        <v>8</v>
      </c>
      <c r="AV377">
        <v>196</v>
      </c>
      <c r="AW377" t="s">
        <v>1464</v>
      </c>
      <c r="AX377">
        <v>37</v>
      </c>
      <c r="AY377">
        <v>37183</v>
      </c>
      <c r="AZ377">
        <v>21</v>
      </c>
    </row>
    <row r="378" spans="1:52" x14ac:dyDescent="0.3">
      <c r="A378">
        <v>365</v>
      </c>
      <c r="B378" s="3">
        <v>390438000000</v>
      </c>
      <c r="C378" t="s">
        <v>1471</v>
      </c>
      <c r="D378" t="str">
        <f>IF(ISNUMBER(SEARCH("High",C378)), "High School","")</f>
        <v>High School</v>
      </c>
      <c r="E378">
        <v>3904380</v>
      </c>
      <c r="F378" t="s">
        <v>917</v>
      </c>
      <c r="G378" s="1">
        <v>44932</v>
      </c>
      <c r="H378" t="s">
        <v>1417</v>
      </c>
      <c r="I378">
        <v>2023</v>
      </c>
      <c r="J378" s="2">
        <v>0.47916666666666669</v>
      </c>
      <c r="K378" t="s">
        <v>67</v>
      </c>
      <c r="L378" t="s">
        <v>918</v>
      </c>
      <c r="M378" t="s">
        <v>180</v>
      </c>
      <c r="N378" s="4">
        <v>11780017</v>
      </c>
      <c r="O378" t="s">
        <v>56</v>
      </c>
      <c r="P378">
        <v>630</v>
      </c>
      <c r="Q378">
        <v>0</v>
      </c>
      <c r="R378">
        <v>0</v>
      </c>
      <c r="S378">
        <v>0</v>
      </c>
      <c r="T378" t="s">
        <v>792</v>
      </c>
      <c r="U378">
        <v>15</v>
      </c>
      <c r="X378" t="s">
        <v>60</v>
      </c>
      <c r="AG378">
        <v>53</v>
      </c>
      <c r="AH378">
        <v>375</v>
      </c>
      <c r="AI378">
        <v>141</v>
      </c>
      <c r="AJ378">
        <v>30</v>
      </c>
      <c r="AK378">
        <v>1</v>
      </c>
      <c r="AL378">
        <v>1</v>
      </c>
      <c r="AM378">
        <v>29</v>
      </c>
      <c r="AN378">
        <v>0</v>
      </c>
      <c r="AQ378">
        <v>40.094200000000001</v>
      </c>
      <c r="AR378">
        <v>-82.964699999999993</v>
      </c>
      <c r="AS378">
        <v>44</v>
      </c>
      <c r="AT378">
        <v>9</v>
      </c>
      <c r="AU378">
        <v>10</v>
      </c>
      <c r="AW378" t="s">
        <v>919</v>
      </c>
      <c r="AX378">
        <v>39</v>
      </c>
      <c r="AY378">
        <v>39049</v>
      </c>
      <c r="AZ378">
        <v>11</v>
      </c>
    </row>
    <row r="379" spans="1:52" x14ac:dyDescent="0.3">
      <c r="A379">
        <v>366</v>
      </c>
      <c r="B379" s="3">
        <v>100023000000</v>
      </c>
      <c r="C379" t="s">
        <v>1474</v>
      </c>
      <c r="D379" t="str">
        <f>IF(ISNUMBER(SEARCH("High",C379)), "High School","")</f>
        <v>High School</v>
      </c>
      <c r="E379">
        <v>1000230</v>
      </c>
      <c r="F379" t="s">
        <v>1475</v>
      </c>
      <c r="G379" s="1">
        <v>44936</v>
      </c>
      <c r="H379" t="s">
        <v>1417</v>
      </c>
      <c r="I379">
        <v>2023</v>
      </c>
      <c r="J379" s="2">
        <v>0.4861111111111111</v>
      </c>
      <c r="K379" t="s">
        <v>82</v>
      </c>
      <c r="L379" t="s">
        <v>1476</v>
      </c>
      <c r="M379" t="s">
        <v>1224</v>
      </c>
      <c r="N379" s="4">
        <v>1003384</v>
      </c>
      <c r="O379" t="s">
        <v>56</v>
      </c>
      <c r="P379">
        <v>2270</v>
      </c>
      <c r="Q379">
        <v>0</v>
      </c>
      <c r="R379">
        <v>0</v>
      </c>
      <c r="S379">
        <v>0</v>
      </c>
      <c r="T379" t="s">
        <v>114</v>
      </c>
      <c r="U379">
        <v>16</v>
      </c>
      <c r="V379" t="s">
        <v>58</v>
      </c>
      <c r="X379" t="s">
        <v>60</v>
      </c>
      <c r="AG379">
        <v>551</v>
      </c>
      <c r="AH379">
        <v>1074</v>
      </c>
      <c r="AI379">
        <v>511</v>
      </c>
      <c r="AJ379">
        <v>47</v>
      </c>
      <c r="AK379">
        <v>11</v>
      </c>
      <c r="AL379">
        <v>11</v>
      </c>
      <c r="AM379">
        <v>65</v>
      </c>
      <c r="AN379">
        <v>0</v>
      </c>
      <c r="AO379" t="s">
        <v>136</v>
      </c>
      <c r="AQ379">
        <v>39.668621999999999</v>
      </c>
      <c r="AR379">
        <v>-75.584879000000001</v>
      </c>
      <c r="AS379">
        <v>128</v>
      </c>
      <c r="AT379">
        <v>9</v>
      </c>
      <c r="AU379">
        <v>12</v>
      </c>
      <c r="AW379" t="s">
        <v>1477</v>
      </c>
      <c r="AX379">
        <v>10</v>
      </c>
      <c r="AY379">
        <v>10003</v>
      </c>
      <c r="AZ379">
        <v>21</v>
      </c>
    </row>
    <row r="380" spans="1:52" x14ac:dyDescent="0.3">
      <c r="A380">
        <v>367</v>
      </c>
      <c r="B380" s="3">
        <v>490036000000</v>
      </c>
      <c r="C380" t="s">
        <v>1482</v>
      </c>
      <c r="D380" t="str">
        <f>IF(ISNUMBER(SEARCH("High",C380)), "High School","")</f>
        <v>High School</v>
      </c>
      <c r="E380">
        <v>4900360</v>
      </c>
      <c r="F380" t="s">
        <v>1483</v>
      </c>
      <c r="G380" s="1">
        <v>44952</v>
      </c>
      <c r="H380" t="s">
        <v>1417</v>
      </c>
      <c r="I380">
        <v>2023</v>
      </c>
      <c r="K380" t="s">
        <v>67</v>
      </c>
      <c r="L380" t="s">
        <v>1484</v>
      </c>
      <c r="M380" t="s">
        <v>928</v>
      </c>
      <c r="N380" s="4">
        <v>3337975</v>
      </c>
      <c r="O380" t="s">
        <v>56</v>
      </c>
      <c r="P380">
        <v>2764</v>
      </c>
      <c r="Q380">
        <v>0</v>
      </c>
      <c r="R380">
        <v>0</v>
      </c>
      <c r="S380">
        <v>0</v>
      </c>
      <c r="T380" t="s">
        <v>70</v>
      </c>
      <c r="X380" t="s">
        <v>60</v>
      </c>
      <c r="AG380">
        <v>1359</v>
      </c>
      <c r="AH380">
        <v>90</v>
      </c>
      <c r="AI380">
        <v>1041</v>
      </c>
      <c r="AJ380">
        <v>115</v>
      </c>
      <c r="AK380">
        <v>26</v>
      </c>
      <c r="AL380">
        <v>95</v>
      </c>
      <c r="AM380">
        <v>38</v>
      </c>
      <c r="AN380">
        <v>0</v>
      </c>
      <c r="AQ380">
        <v>40.655507999999998</v>
      </c>
      <c r="AR380">
        <v>-111.936978</v>
      </c>
      <c r="AS380">
        <v>102.81</v>
      </c>
      <c r="AT380">
        <v>9</v>
      </c>
      <c r="AU380">
        <v>12</v>
      </c>
      <c r="AV380">
        <v>1127</v>
      </c>
      <c r="AW380" t="s">
        <v>929</v>
      </c>
      <c r="AX380">
        <v>49</v>
      </c>
      <c r="AY380">
        <v>49035</v>
      </c>
      <c r="AZ380">
        <v>21</v>
      </c>
    </row>
    <row r="381" spans="1:52" x14ac:dyDescent="0.3">
      <c r="A381">
        <v>369</v>
      </c>
      <c r="B381" s="3">
        <v>170011000000</v>
      </c>
      <c r="C381" t="s">
        <v>1492</v>
      </c>
      <c r="D381" t="str">
        <f>IF(ISNUMBER(SEARCH("High",C381)), "High School","")</f>
        <v>High School</v>
      </c>
      <c r="E381">
        <v>1700109</v>
      </c>
      <c r="F381" t="s">
        <v>1493</v>
      </c>
      <c r="G381" s="1">
        <v>44959</v>
      </c>
      <c r="H381" t="s">
        <v>1417</v>
      </c>
      <c r="I381">
        <v>2023</v>
      </c>
      <c r="J381" s="2">
        <v>0.41666666666666669</v>
      </c>
      <c r="K381" t="s">
        <v>67</v>
      </c>
      <c r="L381" t="s">
        <v>1494</v>
      </c>
      <c r="M381" t="s">
        <v>180</v>
      </c>
      <c r="N381" s="4">
        <v>11780017</v>
      </c>
      <c r="O381" t="s">
        <v>56</v>
      </c>
      <c r="P381">
        <v>143</v>
      </c>
      <c r="Q381">
        <v>0</v>
      </c>
      <c r="R381">
        <v>0</v>
      </c>
      <c r="S381">
        <v>0</v>
      </c>
      <c r="T381" t="s">
        <v>70</v>
      </c>
      <c r="V381" t="s">
        <v>58</v>
      </c>
      <c r="AG381">
        <v>129</v>
      </c>
      <c r="AH381">
        <v>2</v>
      </c>
      <c r="AI381">
        <v>3</v>
      </c>
      <c r="AJ381">
        <v>0</v>
      </c>
      <c r="AK381">
        <v>0</v>
      </c>
      <c r="AL381">
        <v>0</v>
      </c>
      <c r="AM381">
        <v>9</v>
      </c>
      <c r="AN381">
        <v>0</v>
      </c>
      <c r="AQ381">
        <v>40.563800000000001</v>
      </c>
      <c r="AR381">
        <v>-88.613600000000005</v>
      </c>
      <c r="AS381">
        <v>6.7</v>
      </c>
      <c r="AT381">
        <v>6</v>
      </c>
      <c r="AU381">
        <v>10</v>
      </c>
      <c r="AV381">
        <v>60</v>
      </c>
      <c r="AW381" t="s">
        <v>719</v>
      </c>
      <c r="AX381">
        <v>17</v>
      </c>
      <c r="AY381">
        <v>17113</v>
      </c>
      <c r="AZ381">
        <v>42</v>
      </c>
    </row>
    <row r="382" spans="1:52" x14ac:dyDescent="0.3">
      <c r="A382">
        <v>370</v>
      </c>
      <c r="B382" s="3">
        <v>401257000000</v>
      </c>
      <c r="C382" t="s">
        <v>1489</v>
      </c>
      <c r="D382" t="str">
        <f>IF(ISNUMBER(SEARCH("Elementary",C382)), "Elementary School","")</f>
        <v>Elementary School</v>
      </c>
      <c r="E382">
        <v>4012570</v>
      </c>
      <c r="F382" t="s">
        <v>1490</v>
      </c>
      <c r="G382" s="1">
        <v>44957</v>
      </c>
      <c r="H382" t="s">
        <v>1417</v>
      </c>
      <c r="I382">
        <v>2023</v>
      </c>
      <c r="K382" t="s">
        <v>53</v>
      </c>
      <c r="L382" t="s">
        <v>1490</v>
      </c>
      <c r="M382" t="s">
        <v>105</v>
      </c>
      <c r="N382" s="4">
        <v>3986639</v>
      </c>
      <c r="O382" t="s">
        <v>56</v>
      </c>
      <c r="P382">
        <v>149</v>
      </c>
      <c r="Q382">
        <v>0</v>
      </c>
      <c r="R382">
        <v>0</v>
      </c>
      <c r="S382">
        <v>0</v>
      </c>
      <c r="T382" t="s">
        <v>114</v>
      </c>
      <c r="X382" t="s">
        <v>153</v>
      </c>
      <c r="AG382">
        <v>71</v>
      </c>
      <c r="AH382">
        <v>5</v>
      </c>
      <c r="AI382">
        <v>19</v>
      </c>
      <c r="AJ382">
        <v>0</v>
      </c>
      <c r="AK382">
        <v>43</v>
      </c>
      <c r="AL382">
        <v>0</v>
      </c>
      <c r="AM382">
        <v>11</v>
      </c>
      <c r="AN382">
        <v>0</v>
      </c>
      <c r="AO382" t="s">
        <v>1051</v>
      </c>
      <c r="AP382" t="s">
        <v>155</v>
      </c>
      <c r="AQ382">
        <v>35.629468000000003</v>
      </c>
      <c r="AR382">
        <v>-98.324487000000005</v>
      </c>
      <c r="AS382">
        <v>15.2</v>
      </c>
      <c r="AT382" t="s">
        <v>130</v>
      </c>
      <c r="AU382">
        <v>5</v>
      </c>
      <c r="AV382">
        <v>130</v>
      </c>
      <c r="AW382" t="s">
        <v>1491</v>
      </c>
      <c r="AX382">
        <v>40</v>
      </c>
      <c r="AY382">
        <v>40011</v>
      </c>
      <c r="AZ382">
        <v>43</v>
      </c>
    </row>
    <row r="383" spans="1:52" x14ac:dyDescent="0.3">
      <c r="A383">
        <v>371</v>
      </c>
      <c r="B383" s="3">
        <v>362475000000</v>
      </c>
      <c r="C383" t="s">
        <v>886</v>
      </c>
      <c r="D383" t="str">
        <f>IF(ISNUMBER(SEARCH("High",C383)), "High School","")</f>
        <v>High School</v>
      </c>
      <c r="E383">
        <v>3624750</v>
      </c>
      <c r="F383" t="s">
        <v>1468</v>
      </c>
      <c r="G383" s="1">
        <v>44931</v>
      </c>
      <c r="H383" t="s">
        <v>1417</v>
      </c>
      <c r="I383">
        <v>2023</v>
      </c>
      <c r="K383" t="s">
        <v>67</v>
      </c>
      <c r="L383" t="s">
        <v>1469</v>
      </c>
      <c r="M383" t="s">
        <v>263</v>
      </c>
      <c r="N383" s="4">
        <v>19835913</v>
      </c>
      <c r="O383" t="s">
        <v>56</v>
      </c>
      <c r="P383">
        <v>1029</v>
      </c>
      <c r="Q383">
        <v>0</v>
      </c>
      <c r="R383">
        <v>0</v>
      </c>
      <c r="S383">
        <v>0</v>
      </c>
      <c r="T383" t="s">
        <v>70</v>
      </c>
      <c r="AG383">
        <v>83</v>
      </c>
      <c r="AH383">
        <v>574</v>
      </c>
      <c r="AI383">
        <v>349</v>
      </c>
      <c r="AJ383">
        <v>18</v>
      </c>
      <c r="AK383">
        <v>1</v>
      </c>
      <c r="AL383">
        <v>0</v>
      </c>
      <c r="AM383">
        <v>4</v>
      </c>
      <c r="AN383">
        <v>0</v>
      </c>
      <c r="AQ383">
        <v>43.188169000000002</v>
      </c>
      <c r="AR383">
        <v>-77.597958000000006</v>
      </c>
      <c r="AS383">
        <v>108.7</v>
      </c>
      <c r="AT383">
        <v>9</v>
      </c>
      <c r="AU383">
        <v>12</v>
      </c>
      <c r="AV383">
        <v>941</v>
      </c>
      <c r="AW383" t="s">
        <v>1470</v>
      </c>
      <c r="AX383">
        <v>36</v>
      </c>
      <c r="AY383">
        <v>36055</v>
      </c>
      <c r="AZ383">
        <v>12</v>
      </c>
    </row>
    <row r="384" spans="1:52" x14ac:dyDescent="0.3">
      <c r="A384">
        <v>375</v>
      </c>
      <c r="B384" s="3">
        <v>360010000000</v>
      </c>
      <c r="C384" t="s">
        <v>1495</v>
      </c>
      <c r="D384" t="s">
        <v>1542</v>
      </c>
      <c r="E384">
        <v>3600103</v>
      </c>
      <c r="F384" t="s">
        <v>1496</v>
      </c>
      <c r="G384" s="1">
        <v>44970</v>
      </c>
      <c r="H384" t="s">
        <v>1417</v>
      </c>
      <c r="I384">
        <v>2023</v>
      </c>
      <c r="J384" s="2">
        <v>0.52430555555555558</v>
      </c>
      <c r="K384" t="s">
        <v>82</v>
      </c>
      <c r="L384" t="s">
        <v>1497</v>
      </c>
      <c r="M384" t="s">
        <v>263</v>
      </c>
      <c r="N384" s="4">
        <v>19835913</v>
      </c>
      <c r="O384" t="s">
        <v>56</v>
      </c>
      <c r="P384">
        <v>594</v>
      </c>
      <c r="Q384">
        <v>0</v>
      </c>
      <c r="R384">
        <v>0</v>
      </c>
      <c r="S384">
        <v>0</v>
      </c>
      <c r="T384" t="s">
        <v>792</v>
      </c>
      <c r="AG384">
        <v>25</v>
      </c>
      <c r="AH384">
        <v>242</v>
      </c>
      <c r="AI384">
        <v>280</v>
      </c>
      <c r="AJ384">
        <v>22</v>
      </c>
      <c r="AK384">
        <v>8</v>
      </c>
      <c r="AL384">
        <v>10</v>
      </c>
      <c r="AM384">
        <v>7</v>
      </c>
      <c r="AN384">
        <v>0</v>
      </c>
      <c r="AQ384">
        <v>40.622300000000003</v>
      </c>
      <c r="AR384">
        <v>-74.078699999999998</v>
      </c>
      <c r="AS384">
        <v>54.14</v>
      </c>
      <c r="AT384" t="s">
        <v>130</v>
      </c>
      <c r="AU384">
        <v>5</v>
      </c>
      <c r="AV384">
        <v>569</v>
      </c>
      <c r="AW384" t="s">
        <v>857</v>
      </c>
      <c r="AX384">
        <v>36</v>
      </c>
      <c r="AY384">
        <v>36085</v>
      </c>
      <c r="AZ384">
        <v>11</v>
      </c>
    </row>
    <row r="385" spans="1:52" x14ac:dyDescent="0.3">
      <c r="A385">
        <v>382</v>
      </c>
      <c r="B385" s="3">
        <v>180660000000</v>
      </c>
      <c r="C385" t="s">
        <v>1515</v>
      </c>
      <c r="D385" t="str">
        <f>IF(ISNUMBER(SEARCH("Middle",C385)), "Middle School","")</f>
        <v>Middle School</v>
      </c>
      <c r="E385">
        <v>1806600</v>
      </c>
      <c r="F385" t="s">
        <v>1516</v>
      </c>
      <c r="G385" s="1">
        <v>45009</v>
      </c>
      <c r="H385" t="s">
        <v>1417</v>
      </c>
      <c r="I385">
        <v>2023</v>
      </c>
      <c r="K385" t="s">
        <v>95</v>
      </c>
      <c r="L385" t="s">
        <v>1517</v>
      </c>
      <c r="M385" t="s">
        <v>225</v>
      </c>
      <c r="N385" s="4">
        <v>6805985</v>
      </c>
      <c r="O385" t="s">
        <v>56</v>
      </c>
      <c r="P385">
        <v>1002</v>
      </c>
      <c r="Q385">
        <v>0</v>
      </c>
      <c r="R385">
        <v>0</v>
      </c>
      <c r="S385">
        <v>0</v>
      </c>
      <c r="T385" t="s">
        <v>740</v>
      </c>
      <c r="X385" t="s">
        <v>1518</v>
      </c>
      <c r="Y385">
        <v>1</v>
      </c>
      <c r="Z385" t="s">
        <v>61</v>
      </c>
      <c r="AG385">
        <v>831</v>
      </c>
      <c r="AH385">
        <v>19</v>
      </c>
      <c r="AI385">
        <v>107</v>
      </c>
      <c r="AJ385">
        <v>9</v>
      </c>
      <c r="AL385">
        <v>1</v>
      </c>
      <c r="AM385">
        <v>35</v>
      </c>
      <c r="AN385">
        <v>0</v>
      </c>
      <c r="AQ385">
        <v>41.672865999999999</v>
      </c>
      <c r="AR385">
        <v>-85.726856999999995</v>
      </c>
      <c r="AS385">
        <v>68.5</v>
      </c>
      <c r="AT385">
        <v>6</v>
      </c>
      <c r="AU385">
        <v>8</v>
      </c>
      <c r="AV385">
        <v>266</v>
      </c>
      <c r="AW385" t="s">
        <v>1519</v>
      </c>
      <c r="AX385">
        <v>18</v>
      </c>
      <c r="AY385">
        <v>18039</v>
      </c>
      <c r="AZ385">
        <v>41</v>
      </c>
    </row>
    <row r="386" spans="1:52" x14ac:dyDescent="0.3">
      <c r="A386">
        <v>386</v>
      </c>
      <c r="B386" s="3">
        <v>421899000000</v>
      </c>
      <c r="C386" t="s">
        <v>1528</v>
      </c>
      <c r="D386" t="str">
        <f>IF(ISNUMBER(SEARCH("Elementary",C386)), "Elementary School","")</f>
        <v>Elementary School</v>
      </c>
      <c r="E386">
        <v>4218990</v>
      </c>
      <c r="F386" t="s">
        <v>1529</v>
      </c>
      <c r="G386" s="1">
        <v>45054</v>
      </c>
      <c r="H386" t="s">
        <v>1417</v>
      </c>
      <c r="I386">
        <v>2023</v>
      </c>
      <c r="J386" s="2">
        <v>0.47916666666666669</v>
      </c>
      <c r="K386" t="s">
        <v>82</v>
      </c>
      <c r="L386" t="s">
        <v>83</v>
      </c>
      <c r="M386" t="s">
        <v>84</v>
      </c>
      <c r="N386" s="4">
        <v>12964056</v>
      </c>
      <c r="O386" t="s">
        <v>56</v>
      </c>
      <c r="P386">
        <v>406</v>
      </c>
      <c r="Q386">
        <v>0</v>
      </c>
      <c r="R386">
        <v>0</v>
      </c>
      <c r="S386">
        <v>0</v>
      </c>
      <c r="T386" t="s">
        <v>114</v>
      </c>
      <c r="X386" t="s">
        <v>60</v>
      </c>
      <c r="AG386">
        <v>4</v>
      </c>
      <c r="AH386">
        <v>370</v>
      </c>
      <c r="AI386">
        <v>20</v>
      </c>
      <c r="AJ386">
        <v>0</v>
      </c>
      <c r="AK386">
        <v>3</v>
      </c>
      <c r="AL386">
        <v>0</v>
      </c>
      <c r="AM386">
        <v>9</v>
      </c>
      <c r="AN386">
        <v>0</v>
      </c>
      <c r="AQ386">
        <v>40.002800000000001</v>
      </c>
      <c r="AR386">
        <v>-75.178100000000001</v>
      </c>
      <c r="AS386">
        <v>41.37</v>
      </c>
      <c r="AT386" t="s">
        <v>124</v>
      </c>
      <c r="AU386">
        <v>8</v>
      </c>
      <c r="AV386">
        <v>403</v>
      </c>
      <c r="AW386" t="s">
        <v>87</v>
      </c>
      <c r="AX386">
        <v>42</v>
      </c>
      <c r="AY386">
        <v>42101</v>
      </c>
      <c r="AZ386">
        <v>11</v>
      </c>
    </row>
    <row r="387" spans="1:52" x14ac:dyDescent="0.3">
      <c r="A387">
        <v>390</v>
      </c>
      <c r="B387">
        <v>600937</v>
      </c>
      <c r="C387" t="s">
        <v>1531</v>
      </c>
      <c r="D387" t="s">
        <v>1542</v>
      </c>
      <c r="G387" s="1">
        <v>45068</v>
      </c>
      <c r="H387" t="s">
        <v>1417</v>
      </c>
      <c r="I387">
        <v>2023</v>
      </c>
      <c r="K387" t="s">
        <v>82</v>
      </c>
      <c r="L387" t="s">
        <v>1532</v>
      </c>
      <c r="M387" t="s">
        <v>91</v>
      </c>
      <c r="N387" s="4">
        <v>6984723</v>
      </c>
      <c r="O387" t="s">
        <v>216</v>
      </c>
      <c r="P387">
        <v>1446</v>
      </c>
      <c r="Q387">
        <v>0</v>
      </c>
      <c r="R387">
        <v>0</v>
      </c>
      <c r="S387">
        <v>0</v>
      </c>
      <c r="T387" t="s">
        <v>114</v>
      </c>
      <c r="V387" t="s">
        <v>58</v>
      </c>
      <c r="X387" t="s">
        <v>630</v>
      </c>
      <c r="AG387">
        <v>1186</v>
      </c>
      <c r="AH387">
        <v>50</v>
      </c>
      <c r="AI387">
        <v>140</v>
      </c>
      <c r="AJ387">
        <v>50</v>
      </c>
      <c r="AK387">
        <v>0</v>
      </c>
      <c r="AL387">
        <v>10</v>
      </c>
      <c r="AM387">
        <v>10</v>
      </c>
      <c r="AN387">
        <v>0</v>
      </c>
      <c r="AQ387">
        <v>42.5826821</v>
      </c>
      <c r="AR387">
        <v>-70.952602959999993</v>
      </c>
      <c r="AS387">
        <v>176.3</v>
      </c>
      <c r="AT387">
        <v>6</v>
      </c>
      <c r="AU387">
        <v>12</v>
      </c>
      <c r="AW387" t="s">
        <v>1533</v>
      </c>
      <c r="AX387">
        <v>25</v>
      </c>
      <c r="AY387">
        <v>25009</v>
      </c>
      <c r="AZ387">
        <v>21</v>
      </c>
    </row>
    <row r="388" spans="1:52" x14ac:dyDescent="0.3">
      <c r="A388">
        <v>391</v>
      </c>
      <c r="B388" s="3">
        <v>260021000000</v>
      </c>
      <c r="C388" t="s">
        <v>1534</v>
      </c>
      <c r="D388" t="str">
        <f>IF(ISNUMBER(SEARCH("High",C388)), "High School","")</f>
        <v>High School</v>
      </c>
      <c r="E388">
        <v>2600210</v>
      </c>
      <c r="F388" t="s">
        <v>1535</v>
      </c>
      <c r="G388" s="1">
        <v>45082</v>
      </c>
      <c r="H388" t="s">
        <v>1417</v>
      </c>
      <c r="I388">
        <v>2023</v>
      </c>
      <c r="J388" s="2">
        <v>0.61111111111111105</v>
      </c>
      <c r="K388" t="s">
        <v>82</v>
      </c>
      <c r="L388" t="s">
        <v>1536</v>
      </c>
      <c r="M388" t="s">
        <v>145</v>
      </c>
      <c r="N388" s="4">
        <v>10050811</v>
      </c>
      <c r="O388" t="s">
        <v>56</v>
      </c>
      <c r="P388">
        <v>643</v>
      </c>
      <c r="Q388">
        <v>0</v>
      </c>
      <c r="R388">
        <v>0</v>
      </c>
      <c r="S388">
        <v>0</v>
      </c>
      <c r="T388" t="s">
        <v>70</v>
      </c>
      <c r="U388">
        <v>22</v>
      </c>
      <c r="V388" t="s">
        <v>58</v>
      </c>
      <c r="W388" t="s">
        <v>146</v>
      </c>
      <c r="X388" t="s">
        <v>1537</v>
      </c>
      <c r="AG388">
        <v>3</v>
      </c>
      <c r="AH388">
        <v>628</v>
      </c>
      <c r="AI388">
        <v>2</v>
      </c>
      <c r="AJ388">
        <v>4</v>
      </c>
      <c r="AK388">
        <v>0</v>
      </c>
      <c r="AL388">
        <v>0</v>
      </c>
      <c r="AM388">
        <v>6</v>
      </c>
      <c r="AN388">
        <v>0</v>
      </c>
      <c r="AO388" t="s">
        <v>136</v>
      </c>
      <c r="AQ388">
        <v>42.522584999999999</v>
      </c>
      <c r="AR388">
        <v>-83.066681000000003</v>
      </c>
      <c r="AS388">
        <v>24.84</v>
      </c>
      <c r="AT388">
        <v>6</v>
      </c>
      <c r="AU388">
        <v>12</v>
      </c>
      <c r="AV388">
        <v>595</v>
      </c>
      <c r="AW388" t="s">
        <v>1538</v>
      </c>
      <c r="AX388">
        <v>26</v>
      </c>
      <c r="AY388">
        <v>26099</v>
      </c>
      <c r="AZ388">
        <v>12</v>
      </c>
    </row>
  </sheetData>
  <autoFilter ref="A1:AZ388" xr:uid="{00000000-0009-0000-0000-000000000000}"/>
  <sortState xmlns:xlrd2="http://schemas.microsoft.com/office/spreadsheetml/2017/richdata2" ref="A2:AZ388">
    <sortCondition descending="1" ref="S2:S388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school-shootings-data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Abromowitz</dc:creator>
  <cp:lastModifiedBy>Aaron Abromowitz</cp:lastModifiedBy>
  <dcterms:created xsi:type="dcterms:W3CDTF">2023-10-04T00:35:38Z</dcterms:created>
  <dcterms:modified xsi:type="dcterms:W3CDTF">2023-10-11T00:05:06Z</dcterms:modified>
</cp:coreProperties>
</file>